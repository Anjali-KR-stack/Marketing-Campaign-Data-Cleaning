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dyArchie\Desktop\excel task\Marketing-Campaign-Data-Cleaning\Cleaned_Data\"/>
    </mc:Choice>
  </mc:AlternateContent>
  <xr:revisionPtr revIDLastSave="0" documentId="8_{961E89E4-DE74-499C-960A-D943647B5382}" xr6:coauthVersionLast="47" xr6:coauthVersionMax="47" xr10:uidLastSave="{00000000-0000-0000-0000-000000000000}"/>
  <bookViews>
    <workbookView xWindow="-108" yWindow="-108" windowWidth="23256" windowHeight="12456" xr2:uid="{E53716C8-DCB9-440A-9203-B10BFEFE6C6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F193" i="1" l="1"/>
  <c r="AE193" i="1"/>
  <c r="AD193" i="1"/>
  <c r="AC193" i="1"/>
  <c r="AB193" i="1"/>
  <c r="AF192" i="1"/>
  <c r="AE192" i="1"/>
  <c r="AD192" i="1"/>
  <c r="AC192" i="1"/>
  <c r="AB192" i="1"/>
  <c r="AF191" i="1"/>
  <c r="AE191" i="1"/>
  <c r="AD191" i="1"/>
  <c r="AC191" i="1"/>
  <c r="AB191" i="1"/>
  <c r="AF190" i="1"/>
  <c r="AE190" i="1"/>
  <c r="AD190" i="1"/>
  <c r="AC190" i="1"/>
  <c r="AB190" i="1"/>
  <c r="AF189" i="1"/>
  <c r="AE189" i="1"/>
  <c r="AD189" i="1"/>
  <c r="AC189" i="1"/>
  <c r="AB189" i="1"/>
  <c r="AF188" i="1"/>
  <c r="AE188" i="1"/>
  <c r="AD188" i="1"/>
  <c r="AC188" i="1"/>
  <c r="AB188" i="1"/>
  <c r="AF187" i="1"/>
  <c r="AE187" i="1"/>
  <c r="AD187" i="1"/>
  <c r="AC187" i="1"/>
  <c r="AB187" i="1"/>
  <c r="AF186" i="1"/>
  <c r="AE186" i="1"/>
  <c r="AD186" i="1"/>
  <c r="AC186" i="1"/>
  <c r="AB186" i="1"/>
  <c r="AF185" i="1"/>
  <c r="AE185" i="1"/>
  <c r="AD185" i="1"/>
  <c r="AC185" i="1"/>
  <c r="AB185" i="1"/>
  <c r="AF184" i="1"/>
  <c r="AE184" i="1"/>
  <c r="AD184" i="1"/>
  <c r="AC184" i="1"/>
  <c r="AB184" i="1"/>
  <c r="AF183" i="1"/>
  <c r="AE183" i="1"/>
  <c r="AD183" i="1"/>
  <c r="AC183" i="1"/>
  <c r="AB183" i="1"/>
  <c r="AF182" i="1"/>
  <c r="AE182" i="1"/>
  <c r="AD182" i="1"/>
  <c r="AC182" i="1"/>
  <c r="AB182" i="1"/>
  <c r="AF181" i="1"/>
  <c r="AE181" i="1"/>
  <c r="AD181" i="1"/>
  <c r="AC181" i="1"/>
  <c r="AB181" i="1"/>
  <c r="AF180" i="1"/>
  <c r="AE180" i="1"/>
  <c r="AD180" i="1"/>
  <c r="AC180" i="1"/>
  <c r="AB180" i="1"/>
  <c r="AF179" i="1"/>
  <c r="AE179" i="1"/>
  <c r="AD179" i="1"/>
  <c r="AC179" i="1"/>
  <c r="AB179" i="1"/>
  <c r="AF178" i="1"/>
  <c r="AE178" i="1"/>
  <c r="AD178" i="1"/>
  <c r="AC178" i="1"/>
  <c r="AB178" i="1"/>
  <c r="AF177" i="1"/>
  <c r="AE177" i="1"/>
  <c r="AD177" i="1"/>
  <c r="AC177" i="1"/>
  <c r="AB177" i="1"/>
  <c r="AF176" i="1"/>
  <c r="AE176" i="1"/>
  <c r="AD176" i="1"/>
  <c r="AC176" i="1"/>
  <c r="AB176" i="1"/>
  <c r="AF175" i="1"/>
  <c r="AE175" i="1"/>
  <c r="AD175" i="1"/>
  <c r="AC175" i="1"/>
  <c r="AB175" i="1"/>
  <c r="AF174" i="1"/>
  <c r="AE174" i="1"/>
  <c r="AD174" i="1"/>
  <c r="AC174" i="1"/>
  <c r="AB174" i="1"/>
  <c r="AF173" i="1"/>
  <c r="AE173" i="1"/>
  <c r="AD173" i="1"/>
  <c r="AC173" i="1"/>
  <c r="AB173" i="1"/>
  <c r="AF172" i="1"/>
  <c r="AE172" i="1"/>
  <c r="AD172" i="1"/>
  <c r="AC172" i="1"/>
  <c r="AB172" i="1"/>
  <c r="AF171" i="1"/>
  <c r="AE171" i="1"/>
  <c r="AD171" i="1"/>
  <c r="AC171" i="1"/>
  <c r="AB171" i="1"/>
  <c r="AF170" i="1"/>
  <c r="AE170" i="1"/>
  <c r="AD170" i="1"/>
  <c r="AC170" i="1"/>
  <c r="AB170" i="1"/>
  <c r="AF169" i="1"/>
  <c r="AE169" i="1"/>
  <c r="AD169" i="1"/>
  <c r="AC169" i="1"/>
  <c r="AB169" i="1"/>
  <c r="AF168" i="1"/>
  <c r="AE168" i="1"/>
  <c r="AD168" i="1"/>
  <c r="AC168" i="1"/>
  <c r="AB168" i="1"/>
  <c r="AF167" i="1"/>
  <c r="AE167" i="1"/>
  <c r="AD167" i="1"/>
  <c r="AC167" i="1"/>
  <c r="AB167" i="1"/>
  <c r="AF166" i="1"/>
  <c r="AE166" i="1"/>
  <c r="AD166" i="1"/>
  <c r="AC166" i="1"/>
  <c r="AB166" i="1"/>
  <c r="AF165" i="1"/>
  <c r="AE165" i="1"/>
  <c r="AD165" i="1"/>
  <c r="AC165" i="1"/>
  <c r="AB165" i="1"/>
  <c r="AF164" i="1"/>
  <c r="AE164" i="1"/>
  <c r="AD164" i="1"/>
  <c r="AC164" i="1"/>
  <c r="AB164" i="1"/>
  <c r="AF163" i="1"/>
  <c r="AE163" i="1"/>
  <c r="AD163" i="1"/>
  <c r="AC163" i="1"/>
  <c r="AB163" i="1"/>
  <c r="AF162" i="1"/>
  <c r="AE162" i="1"/>
  <c r="AD162" i="1"/>
  <c r="AC162" i="1"/>
  <c r="AB162" i="1"/>
  <c r="AF161" i="1"/>
  <c r="AE161" i="1"/>
  <c r="AD161" i="1"/>
  <c r="AC161" i="1"/>
  <c r="AB161" i="1"/>
  <c r="AF160" i="1"/>
  <c r="AE160" i="1"/>
  <c r="AD160" i="1"/>
  <c r="AC160" i="1"/>
  <c r="AB160" i="1"/>
  <c r="AF159" i="1"/>
  <c r="AE159" i="1"/>
  <c r="AD159" i="1"/>
  <c r="AC159" i="1"/>
  <c r="AB159" i="1"/>
  <c r="AF158" i="1"/>
  <c r="AE158" i="1"/>
  <c r="AD158" i="1"/>
  <c r="AC158" i="1"/>
  <c r="AB158" i="1"/>
  <c r="AF157" i="1"/>
  <c r="AE157" i="1"/>
  <c r="AD157" i="1"/>
  <c r="AC157" i="1"/>
  <c r="AB157" i="1"/>
  <c r="AF156" i="1"/>
  <c r="AE156" i="1"/>
  <c r="AD156" i="1"/>
  <c r="AC156" i="1"/>
  <c r="AB156" i="1"/>
  <c r="AF155" i="1"/>
  <c r="AE155" i="1"/>
  <c r="AD155" i="1"/>
  <c r="AC155" i="1"/>
  <c r="AB155" i="1"/>
  <c r="AF154" i="1"/>
  <c r="AE154" i="1"/>
  <c r="AD154" i="1"/>
  <c r="AC154" i="1"/>
  <c r="AB154" i="1"/>
  <c r="AF153" i="1"/>
  <c r="AE153" i="1"/>
  <c r="AD153" i="1"/>
  <c r="AC153" i="1"/>
  <c r="AB153" i="1"/>
  <c r="AF152" i="1"/>
  <c r="AE152" i="1"/>
  <c r="AD152" i="1"/>
  <c r="AC152" i="1"/>
  <c r="AB152" i="1"/>
  <c r="AF151" i="1"/>
  <c r="AE151" i="1"/>
  <c r="AD151" i="1"/>
  <c r="AC151" i="1"/>
  <c r="AB151" i="1"/>
  <c r="AF150" i="1"/>
  <c r="AE150" i="1"/>
  <c r="AD150" i="1"/>
  <c r="AC150" i="1"/>
  <c r="AB150" i="1"/>
  <c r="AF149" i="1"/>
  <c r="AE149" i="1"/>
  <c r="AD149" i="1"/>
  <c r="AC149" i="1"/>
  <c r="AB149" i="1"/>
  <c r="AF148" i="1"/>
  <c r="AE148" i="1"/>
  <c r="AD148" i="1"/>
  <c r="AC148" i="1"/>
  <c r="AB148" i="1"/>
  <c r="AF147" i="1"/>
  <c r="AE147" i="1"/>
  <c r="AD147" i="1"/>
  <c r="AC147" i="1"/>
  <c r="AB147" i="1"/>
  <c r="AF146" i="1"/>
  <c r="AE146" i="1"/>
  <c r="AD146" i="1"/>
  <c r="AC146" i="1"/>
  <c r="AB146" i="1"/>
  <c r="AF145" i="1"/>
  <c r="AE145" i="1"/>
  <c r="AD145" i="1"/>
  <c r="AC145" i="1"/>
  <c r="AB145" i="1"/>
  <c r="AF144" i="1"/>
  <c r="AE144" i="1"/>
  <c r="AD144" i="1"/>
  <c r="AC144" i="1"/>
  <c r="AB144" i="1"/>
  <c r="AF143" i="1"/>
  <c r="AE143" i="1"/>
  <c r="AD143" i="1"/>
  <c r="AC143" i="1"/>
  <c r="AB143" i="1"/>
  <c r="AF142" i="1"/>
  <c r="AE142" i="1"/>
  <c r="AD142" i="1"/>
  <c r="AC142" i="1"/>
  <c r="AB142" i="1"/>
  <c r="AF141" i="1"/>
  <c r="AE141" i="1"/>
  <c r="AD141" i="1"/>
  <c r="AC141" i="1"/>
  <c r="AB141" i="1"/>
  <c r="AF140" i="1"/>
  <c r="AE140" i="1"/>
  <c r="AD140" i="1"/>
  <c r="AC140" i="1"/>
  <c r="AB140" i="1"/>
  <c r="AF139" i="1"/>
  <c r="AE139" i="1"/>
  <c r="AD139" i="1"/>
  <c r="AC139" i="1"/>
  <c r="AB139" i="1"/>
  <c r="AF138" i="1"/>
  <c r="AE138" i="1"/>
  <c r="AD138" i="1"/>
  <c r="AC138" i="1"/>
  <c r="AB138" i="1"/>
  <c r="AF137" i="1"/>
  <c r="AE137" i="1"/>
  <c r="AD137" i="1"/>
  <c r="AC137" i="1"/>
  <c r="AB137" i="1"/>
  <c r="AF136" i="1"/>
  <c r="AE136" i="1"/>
  <c r="AD136" i="1"/>
  <c r="AC136" i="1"/>
  <c r="AB136" i="1"/>
  <c r="AF135" i="1"/>
  <c r="AE135" i="1"/>
  <c r="AD135" i="1"/>
  <c r="AC135" i="1"/>
  <c r="AB135" i="1"/>
  <c r="AF134" i="1"/>
  <c r="AE134" i="1"/>
  <c r="AD134" i="1"/>
  <c r="AC134" i="1"/>
  <c r="AB134" i="1"/>
  <c r="AF133" i="1"/>
  <c r="AE133" i="1"/>
  <c r="AD133" i="1"/>
  <c r="AC133" i="1"/>
  <c r="AB133" i="1"/>
  <c r="AF132" i="1"/>
  <c r="AE132" i="1"/>
  <c r="AD132" i="1"/>
  <c r="AC132" i="1"/>
  <c r="AB132" i="1"/>
  <c r="AF131" i="1"/>
  <c r="AE131" i="1"/>
  <c r="AD131" i="1"/>
  <c r="AC131" i="1"/>
  <c r="AB131" i="1"/>
  <c r="AF130" i="1"/>
  <c r="AE130" i="1"/>
  <c r="AD130" i="1"/>
  <c r="AC130" i="1"/>
  <c r="AB130" i="1"/>
  <c r="AF129" i="1"/>
  <c r="AE129" i="1"/>
  <c r="AD129" i="1"/>
  <c r="AC129" i="1"/>
  <c r="AB129" i="1"/>
  <c r="AF128" i="1"/>
  <c r="AE128" i="1"/>
  <c r="AD128" i="1"/>
  <c r="AC128" i="1"/>
  <c r="AB128" i="1"/>
  <c r="AF127" i="1"/>
  <c r="AE127" i="1"/>
  <c r="AD127" i="1"/>
  <c r="AC127" i="1"/>
  <c r="AB127" i="1"/>
  <c r="AF126" i="1"/>
  <c r="AE126" i="1"/>
  <c r="AD126" i="1"/>
  <c r="AC126" i="1"/>
  <c r="AB126" i="1"/>
  <c r="AF125" i="1"/>
  <c r="AE125" i="1"/>
  <c r="AD125" i="1"/>
  <c r="AC125" i="1"/>
  <c r="AB125" i="1"/>
  <c r="AF124" i="1"/>
  <c r="AE124" i="1"/>
  <c r="AD124" i="1"/>
  <c r="AC124" i="1"/>
  <c r="AB124" i="1"/>
  <c r="AF123" i="1"/>
  <c r="AE123" i="1"/>
  <c r="AD123" i="1"/>
  <c r="AC123" i="1"/>
  <c r="AB123" i="1"/>
  <c r="AF122" i="1"/>
  <c r="AE122" i="1"/>
  <c r="AD122" i="1"/>
  <c r="AC122" i="1"/>
  <c r="AB122" i="1"/>
  <c r="AF121" i="1"/>
  <c r="AE121" i="1"/>
  <c r="AD121" i="1"/>
  <c r="AC121" i="1"/>
  <c r="AB121" i="1"/>
  <c r="AF120" i="1"/>
  <c r="AE120" i="1"/>
  <c r="AD120" i="1"/>
  <c r="AC120" i="1"/>
  <c r="AB120" i="1"/>
  <c r="AF119" i="1"/>
  <c r="AE119" i="1"/>
  <c r="AD119" i="1"/>
  <c r="AC119" i="1"/>
  <c r="AB119" i="1"/>
  <c r="AF118" i="1"/>
  <c r="AE118" i="1"/>
  <c r="AD118" i="1"/>
  <c r="AC118" i="1"/>
  <c r="AB118" i="1"/>
  <c r="AF117" i="1"/>
  <c r="AE117" i="1"/>
  <c r="AD117" i="1"/>
  <c r="AC117" i="1"/>
  <c r="AB117" i="1"/>
  <c r="AF116" i="1"/>
  <c r="AE116" i="1"/>
  <c r="AD116" i="1"/>
  <c r="AC116" i="1"/>
  <c r="AB116" i="1"/>
  <c r="AF115" i="1"/>
  <c r="AE115" i="1"/>
  <c r="AD115" i="1"/>
  <c r="AC115" i="1"/>
  <c r="AB115" i="1"/>
  <c r="AF114" i="1"/>
  <c r="AE114" i="1"/>
  <c r="AD114" i="1"/>
  <c r="AC114" i="1"/>
  <c r="AB114" i="1"/>
  <c r="AF113" i="1"/>
  <c r="AE113" i="1"/>
  <c r="AD113" i="1"/>
  <c r="AC113" i="1"/>
  <c r="AB113" i="1"/>
  <c r="AF112" i="1"/>
  <c r="AE112" i="1"/>
  <c r="AD112" i="1"/>
  <c r="AC112" i="1"/>
  <c r="AB112" i="1"/>
  <c r="AF111" i="1"/>
  <c r="AE111" i="1"/>
  <c r="AD111" i="1"/>
  <c r="AC111" i="1"/>
  <c r="AB111" i="1"/>
  <c r="AF110" i="1"/>
  <c r="AE110" i="1"/>
  <c r="AD110" i="1"/>
  <c r="AC110" i="1"/>
  <c r="AB110" i="1"/>
  <c r="AF109" i="1"/>
  <c r="AE109" i="1"/>
  <c r="AD109" i="1"/>
  <c r="AC109" i="1"/>
  <c r="AB109" i="1"/>
  <c r="AF108" i="1"/>
  <c r="AE108" i="1"/>
  <c r="AD108" i="1"/>
  <c r="AC108" i="1"/>
  <c r="AB108" i="1"/>
  <c r="AF107" i="1"/>
  <c r="AE107" i="1"/>
  <c r="AD107" i="1"/>
  <c r="AC107" i="1"/>
  <c r="AB107" i="1"/>
  <c r="AF106" i="1"/>
  <c r="AE106" i="1"/>
  <c r="AD106" i="1"/>
  <c r="AC106" i="1"/>
  <c r="AB106" i="1"/>
  <c r="AF105" i="1"/>
  <c r="AE105" i="1"/>
  <c r="AD105" i="1"/>
  <c r="AC105" i="1"/>
  <c r="AB105" i="1"/>
  <c r="AF104" i="1"/>
  <c r="AE104" i="1"/>
  <c r="AD104" i="1"/>
  <c r="AC104" i="1"/>
  <c r="AB104" i="1"/>
  <c r="AF103" i="1"/>
  <c r="AE103" i="1"/>
  <c r="AD103" i="1"/>
  <c r="AC103" i="1"/>
  <c r="AB103" i="1"/>
  <c r="AF102" i="1"/>
  <c r="AE102" i="1"/>
  <c r="AD102" i="1"/>
  <c r="AC102" i="1"/>
  <c r="AB102" i="1"/>
  <c r="AF101" i="1"/>
  <c r="AE101" i="1"/>
  <c r="AD101" i="1"/>
  <c r="AC101" i="1"/>
  <c r="AB101" i="1"/>
  <c r="AF100" i="1"/>
  <c r="AE100" i="1"/>
  <c r="AD100" i="1"/>
  <c r="AC100" i="1"/>
  <c r="AB100" i="1"/>
  <c r="AF99" i="1"/>
  <c r="AE99" i="1"/>
  <c r="AD99" i="1"/>
  <c r="AC99" i="1"/>
  <c r="AB99" i="1"/>
  <c r="AF98" i="1"/>
  <c r="AE98" i="1"/>
  <c r="AD98" i="1"/>
  <c r="AC98" i="1"/>
  <c r="AB98" i="1"/>
  <c r="AF97" i="1"/>
  <c r="AE97" i="1"/>
  <c r="AD97" i="1"/>
  <c r="AC97" i="1"/>
  <c r="AB97" i="1"/>
  <c r="AF96" i="1"/>
  <c r="AE96" i="1"/>
  <c r="AD96" i="1"/>
  <c r="AC96" i="1"/>
  <c r="AB96" i="1"/>
  <c r="AF95" i="1"/>
  <c r="AE95" i="1"/>
  <c r="AD95" i="1"/>
  <c r="AC95" i="1"/>
  <c r="AB95" i="1"/>
  <c r="AF94" i="1"/>
  <c r="AE94" i="1"/>
  <c r="AD94" i="1"/>
  <c r="AC94" i="1"/>
  <c r="AB94" i="1"/>
  <c r="AF93" i="1"/>
  <c r="AE93" i="1"/>
  <c r="AD93" i="1"/>
  <c r="AC93" i="1"/>
  <c r="AB93" i="1"/>
  <c r="AF92" i="1"/>
  <c r="AE92" i="1"/>
  <c r="AD92" i="1"/>
  <c r="AC92" i="1"/>
  <c r="AB92" i="1"/>
  <c r="AF91" i="1"/>
  <c r="AE91" i="1"/>
  <c r="AD91" i="1"/>
  <c r="AC91" i="1"/>
  <c r="AB91" i="1"/>
  <c r="AF90" i="1"/>
  <c r="AE90" i="1"/>
  <c r="AD90" i="1"/>
  <c r="AC90" i="1"/>
  <c r="AB90" i="1"/>
  <c r="AF89" i="1"/>
  <c r="AE89" i="1"/>
  <c r="AD89" i="1"/>
  <c r="AC89" i="1"/>
  <c r="AB89" i="1"/>
  <c r="AF88" i="1"/>
  <c r="AE88" i="1"/>
  <c r="AD88" i="1"/>
  <c r="AC88" i="1"/>
  <c r="AB88" i="1"/>
  <c r="AF87" i="1"/>
  <c r="AE87" i="1"/>
  <c r="AD87" i="1"/>
  <c r="AC87" i="1"/>
  <c r="AB87" i="1"/>
  <c r="AF86" i="1"/>
  <c r="AE86" i="1"/>
  <c r="AD86" i="1"/>
  <c r="AC86" i="1"/>
  <c r="AB86" i="1"/>
  <c r="AF85" i="1"/>
  <c r="AE85" i="1"/>
  <c r="AD85" i="1"/>
  <c r="AC85" i="1"/>
  <c r="AB85" i="1"/>
  <c r="AF84" i="1"/>
  <c r="AE84" i="1"/>
  <c r="AD84" i="1"/>
  <c r="AC84" i="1"/>
  <c r="AB84" i="1"/>
  <c r="AF83" i="1"/>
  <c r="AE83" i="1"/>
  <c r="AD83" i="1"/>
  <c r="AC83" i="1"/>
  <c r="AB83" i="1"/>
  <c r="AF82" i="1"/>
  <c r="AE82" i="1"/>
  <c r="AD82" i="1"/>
  <c r="AC82" i="1"/>
  <c r="AB82" i="1"/>
  <c r="AF81" i="1"/>
  <c r="AE81" i="1"/>
  <c r="AD81" i="1"/>
  <c r="AC81" i="1"/>
  <c r="AB81" i="1"/>
  <c r="AF80" i="1"/>
  <c r="AE80" i="1"/>
  <c r="AD80" i="1"/>
  <c r="AC80" i="1"/>
  <c r="AB80" i="1"/>
  <c r="AF79" i="1"/>
  <c r="AE79" i="1"/>
  <c r="AD79" i="1"/>
  <c r="AC79" i="1"/>
  <c r="AB79" i="1"/>
  <c r="AF78" i="1"/>
  <c r="AE78" i="1"/>
  <c r="AD78" i="1"/>
  <c r="AC78" i="1"/>
  <c r="AB78" i="1"/>
  <c r="AF77" i="1"/>
  <c r="AE77" i="1"/>
  <c r="AD77" i="1"/>
  <c r="AC77" i="1"/>
  <c r="AB77" i="1"/>
  <c r="AF76" i="1"/>
  <c r="AE76" i="1"/>
  <c r="AD76" i="1"/>
  <c r="AC76" i="1"/>
  <c r="AB76" i="1"/>
  <c r="AF75" i="1"/>
  <c r="AE75" i="1"/>
  <c r="AD75" i="1"/>
  <c r="AC75" i="1"/>
  <c r="AB75" i="1"/>
  <c r="AF74" i="1"/>
  <c r="AE74" i="1"/>
  <c r="AD74" i="1"/>
  <c r="AC74" i="1"/>
  <c r="AB74" i="1"/>
  <c r="AF73" i="1"/>
  <c r="AE73" i="1"/>
  <c r="AD73" i="1"/>
  <c r="AC73" i="1"/>
  <c r="AB73" i="1"/>
  <c r="AF72" i="1"/>
  <c r="AE72" i="1"/>
  <c r="AD72" i="1"/>
  <c r="AC72" i="1"/>
  <c r="AB72" i="1"/>
  <c r="AF71" i="1"/>
  <c r="AE71" i="1"/>
  <c r="AD71" i="1"/>
  <c r="AC71" i="1"/>
  <c r="AB71" i="1"/>
  <c r="AF70" i="1"/>
  <c r="AE70" i="1"/>
  <c r="AD70" i="1"/>
  <c r="AC70" i="1"/>
  <c r="AB70" i="1"/>
  <c r="AF69" i="1"/>
  <c r="AE69" i="1"/>
  <c r="AD69" i="1"/>
  <c r="AC69" i="1"/>
  <c r="AB69" i="1"/>
  <c r="AF68" i="1"/>
  <c r="AE68" i="1"/>
  <c r="AD68" i="1"/>
  <c r="AC68" i="1"/>
  <c r="AB68" i="1"/>
  <c r="AF67" i="1"/>
  <c r="AE67" i="1"/>
  <c r="AD67" i="1"/>
  <c r="AC67" i="1"/>
  <c r="AB67" i="1"/>
  <c r="AF66" i="1"/>
  <c r="AE66" i="1"/>
  <c r="AD66" i="1"/>
  <c r="AC66" i="1"/>
  <c r="AB66" i="1"/>
  <c r="AF65" i="1"/>
  <c r="AE65" i="1"/>
  <c r="AD65" i="1"/>
  <c r="AC65" i="1"/>
  <c r="AB65" i="1"/>
  <c r="AF64" i="1"/>
  <c r="AE64" i="1"/>
  <c r="AD64" i="1"/>
  <c r="AC64" i="1"/>
  <c r="AB64" i="1"/>
  <c r="AF63" i="1"/>
  <c r="AE63" i="1"/>
  <c r="AD63" i="1"/>
  <c r="AC63" i="1"/>
  <c r="AB63" i="1"/>
  <c r="AF62" i="1"/>
  <c r="AE62" i="1"/>
  <c r="AD62" i="1"/>
  <c r="AC62" i="1"/>
  <c r="AB62" i="1"/>
  <c r="AF61" i="1"/>
  <c r="AE61" i="1"/>
  <c r="AD61" i="1"/>
  <c r="AC61" i="1"/>
  <c r="AB61" i="1"/>
  <c r="AF60" i="1"/>
  <c r="AE60" i="1"/>
  <c r="AD60" i="1"/>
  <c r="AC60" i="1"/>
  <c r="AB60" i="1"/>
  <c r="AF59" i="1"/>
  <c r="AE59" i="1"/>
  <c r="AD59" i="1"/>
  <c r="AC59" i="1"/>
  <c r="AB59" i="1"/>
  <c r="AF58" i="1"/>
  <c r="AE58" i="1"/>
  <c r="AD58" i="1"/>
  <c r="AC58" i="1"/>
  <c r="AB58" i="1"/>
  <c r="AF57" i="1"/>
  <c r="AE57" i="1"/>
  <c r="AD57" i="1"/>
  <c r="AC57" i="1"/>
  <c r="AB57" i="1"/>
  <c r="AF56" i="1"/>
  <c r="AE56" i="1"/>
  <c r="AD56" i="1"/>
  <c r="AC56" i="1"/>
  <c r="AB56" i="1"/>
  <c r="AF55" i="1"/>
  <c r="AE55" i="1"/>
  <c r="AD55" i="1"/>
  <c r="AC55" i="1"/>
  <c r="AB55" i="1"/>
  <c r="AF54" i="1"/>
  <c r="AE54" i="1"/>
  <c r="AD54" i="1"/>
  <c r="AC54" i="1"/>
  <c r="AB54" i="1"/>
  <c r="AF53" i="1"/>
  <c r="AE53" i="1"/>
  <c r="AD53" i="1"/>
  <c r="AC53" i="1"/>
  <c r="AB53" i="1"/>
  <c r="AF52" i="1"/>
  <c r="AE52" i="1"/>
  <c r="AD52" i="1"/>
  <c r="AC52" i="1"/>
  <c r="AB52" i="1"/>
  <c r="AF51" i="1"/>
  <c r="AE51" i="1"/>
  <c r="AD51" i="1"/>
  <c r="AC51" i="1"/>
  <c r="AB51" i="1"/>
  <c r="AF50" i="1"/>
  <c r="AE50" i="1"/>
  <c r="AD50" i="1"/>
  <c r="AC50" i="1"/>
  <c r="AB50" i="1"/>
  <c r="AF49" i="1"/>
  <c r="AE49" i="1"/>
  <c r="AD49" i="1"/>
  <c r="AC49" i="1"/>
  <c r="AB49" i="1"/>
  <c r="AF48" i="1"/>
  <c r="AE48" i="1"/>
  <c r="AD48" i="1"/>
  <c r="AC48" i="1"/>
  <c r="AB48" i="1"/>
  <c r="AF47" i="1"/>
  <c r="AE47" i="1"/>
  <c r="AD47" i="1"/>
  <c r="AC47" i="1"/>
  <c r="AB47" i="1"/>
  <c r="AF46" i="1"/>
  <c r="AE46" i="1"/>
  <c r="AD46" i="1"/>
  <c r="AC46" i="1"/>
  <c r="AB46" i="1"/>
  <c r="AF45" i="1"/>
  <c r="AE45" i="1"/>
  <c r="AD45" i="1"/>
  <c r="AC45" i="1"/>
  <c r="AB45" i="1"/>
  <c r="AF44" i="1"/>
  <c r="AE44" i="1"/>
  <c r="AD44" i="1"/>
  <c r="AC44" i="1"/>
  <c r="AB44" i="1"/>
  <c r="AF43" i="1"/>
  <c r="AE43" i="1"/>
  <c r="AD43" i="1"/>
  <c r="AC43" i="1"/>
  <c r="AB43" i="1"/>
  <c r="AF42" i="1"/>
  <c r="AE42" i="1"/>
  <c r="AD42" i="1"/>
  <c r="AC42" i="1"/>
  <c r="AB42" i="1"/>
  <c r="AF41" i="1"/>
  <c r="AE41" i="1"/>
  <c r="AD41" i="1"/>
  <c r="AC41" i="1"/>
  <c r="AB41" i="1"/>
  <c r="AF40" i="1"/>
  <c r="AE40" i="1"/>
  <c r="AD40" i="1"/>
  <c r="AC40" i="1"/>
  <c r="AB40" i="1"/>
  <c r="AF39" i="1"/>
  <c r="AE39" i="1"/>
  <c r="AD39" i="1"/>
  <c r="AC39" i="1"/>
  <c r="AB39" i="1"/>
  <c r="AF38" i="1"/>
  <c r="AE38" i="1"/>
  <c r="AD38" i="1"/>
  <c r="AC38" i="1"/>
  <c r="AB38" i="1"/>
  <c r="AF37" i="1"/>
  <c r="AE37" i="1"/>
  <c r="AD37" i="1"/>
  <c r="AC37" i="1"/>
  <c r="AB37" i="1"/>
  <c r="AF36" i="1"/>
  <c r="AE36" i="1"/>
  <c r="AD36" i="1"/>
  <c r="AC36" i="1"/>
  <c r="AB36" i="1"/>
  <c r="AF35" i="1"/>
  <c r="AE35" i="1"/>
  <c r="AD35" i="1"/>
  <c r="AC35" i="1"/>
  <c r="AB35" i="1"/>
  <c r="AF34" i="1"/>
  <c r="AE34" i="1"/>
  <c r="AD34" i="1"/>
  <c r="AC34" i="1"/>
  <c r="AB34" i="1"/>
  <c r="AF33" i="1"/>
  <c r="AE33" i="1"/>
  <c r="AD33" i="1"/>
  <c r="AC33" i="1"/>
  <c r="AB33" i="1"/>
  <c r="AF32" i="1"/>
  <c r="AE32" i="1"/>
  <c r="AD32" i="1"/>
  <c r="AC32" i="1"/>
  <c r="AB32" i="1"/>
  <c r="AF31" i="1"/>
  <c r="AE31" i="1"/>
  <c r="AD31" i="1"/>
  <c r="AC31" i="1"/>
  <c r="AB31" i="1"/>
  <c r="AF30" i="1"/>
  <c r="AE30" i="1"/>
  <c r="AD30" i="1"/>
  <c r="AC30" i="1"/>
  <c r="AB30" i="1"/>
  <c r="AF29" i="1"/>
  <c r="AE29" i="1"/>
  <c r="AD29" i="1"/>
  <c r="AC29" i="1"/>
  <c r="AB29" i="1"/>
  <c r="AF28" i="1"/>
  <c r="AE28" i="1"/>
  <c r="AD28" i="1"/>
  <c r="AC28" i="1"/>
  <c r="AB28" i="1"/>
  <c r="AF27" i="1"/>
  <c r="AE27" i="1"/>
  <c r="AD27" i="1"/>
  <c r="AC27" i="1"/>
  <c r="AB27" i="1"/>
  <c r="AF26" i="1"/>
  <c r="AE26" i="1"/>
  <c r="AD26" i="1"/>
  <c r="AC26" i="1"/>
  <c r="AB26" i="1"/>
  <c r="AF25" i="1"/>
  <c r="AE25" i="1"/>
  <c r="AD25" i="1"/>
  <c r="AC25" i="1"/>
  <c r="AB25" i="1"/>
  <c r="AF24" i="1"/>
  <c r="AE24" i="1"/>
  <c r="AD24" i="1"/>
  <c r="AC24" i="1"/>
  <c r="AB24" i="1"/>
  <c r="AF23" i="1"/>
  <c r="AE23" i="1"/>
  <c r="AD23" i="1"/>
  <c r="AC23" i="1"/>
  <c r="AB23" i="1"/>
  <c r="AF22" i="1"/>
  <c r="AE22" i="1"/>
  <c r="AD22" i="1"/>
  <c r="AC22" i="1"/>
  <c r="AB22" i="1"/>
  <c r="AF21" i="1"/>
  <c r="AE21" i="1"/>
  <c r="AD21" i="1"/>
  <c r="AC21" i="1"/>
  <c r="AB21" i="1"/>
  <c r="AF20" i="1"/>
  <c r="AE20" i="1"/>
  <c r="AD20" i="1"/>
  <c r="AC20" i="1"/>
  <c r="AB20" i="1"/>
  <c r="AF19" i="1"/>
  <c r="AE19" i="1"/>
  <c r="AD19" i="1"/>
  <c r="AC19" i="1"/>
  <c r="AB19" i="1"/>
  <c r="AF18" i="1"/>
  <c r="AE18" i="1"/>
  <c r="AD18" i="1"/>
  <c r="AC18" i="1"/>
  <c r="AB18" i="1"/>
  <c r="AF17" i="1"/>
  <c r="AE17" i="1"/>
  <c r="AD17" i="1"/>
  <c r="AC17" i="1"/>
  <c r="AB17" i="1"/>
  <c r="AF16" i="1"/>
  <c r="AE16" i="1"/>
  <c r="AD16" i="1"/>
  <c r="AC16" i="1"/>
  <c r="AB16" i="1"/>
  <c r="AF15" i="1"/>
  <c r="AE15" i="1"/>
  <c r="AD15" i="1"/>
  <c r="AC15" i="1"/>
  <c r="AB15" i="1"/>
  <c r="AF14" i="1"/>
  <c r="AE14" i="1"/>
  <c r="AD14" i="1"/>
  <c r="AC14" i="1"/>
  <c r="AB14" i="1"/>
  <c r="AF13" i="1"/>
  <c r="AE13" i="1"/>
  <c r="AD13" i="1"/>
  <c r="AC13" i="1"/>
  <c r="AB13" i="1"/>
  <c r="AF12" i="1"/>
  <c r="AE12" i="1"/>
  <c r="AD12" i="1"/>
  <c r="AC12" i="1"/>
  <c r="AB12" i="1"/>
  <c r="E12" i="1"/>
  <c r="AF11" i="1"/>
  <c r="AE11" i="1"/>
  <c r="AD11" i="1"/>
  <c r="AC11" i="1"/>
  <c r="AB11" i="1"/>
  <c r="AF10" i="1"/>
  <c r="AE10" i="1"/>
  <c r="AD10" i="1"/>
  <c r="AC10" i="1"/>
  <c r="AB10" i="1"/>
  <c r="AF9" i="1"/>
  <c r="AE9" i="1"/>
  <c r="AD9" i="1"/>
  <c r="AC9" i="1"/>
  <c r="AB9" i="1"/>
  <c r="AF8" i="1"/>
  <c r="AE8" i="1"/>
  <c r="AD8" i="1"/>
  <c r="AC8" i="1"/>
  <c r="AB8" i="1"/>
  <c r="AF7" i="1"/>
  <c r="AE7" i="1"/>
  <c r="AD7" i="1"/>
  <c r="AC7" i="1"/>
  <c r="AB7" i="1"/>
  <c r="AF6" i="1"/>
  <c r="AE6" i="1"/>
  <c r="AD6" i="1"/>
  <c r="AC6" i="1"/>
  <c r="AB6" i="1"/>
  <c r="AF5" i="1"/>
  <c r="AE5" i="1"/>
  <c r="AD5" i="1"/>
  <c r="AC5" i="1"/>
  <c r="AB5" i="1"/>
  <c r="AF4" i="1"/>
  <c r="AE4" i="1"/>
  <c r="AD4" i="1"/>
  <c r="AC4" i="1"/>
  <c r="AB4" i="1"/>
  <c r="AF3" i="1"/>
  <c r="AE3" i="1"/>
  <c r="AD3" i="1"/>
  <c r="AC3" i="1"/>
  <c r="AB3" i="1"/>
  <c r="AF2" i="1"/>
  <c r="AE2" i="1"/>
  <c r="AD2" i="1"/>
  <c r="AC2" i="1"/>
  <c r="AB2" i="1"/>
</calcChain>
</file>

<file path=xl/sharedStrings.xml><?xml version="1.0" encoding="utf-8"?>
<sst xmlns="http://schemas.openxmlformats.org/spreadsheetml/2006/main" count="416" uniqueCount="42">
  <si>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</si>
  <si>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</si>
  <si>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</si>
  <si>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</si>
  <si>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</si>
  <si>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</si>
  <si>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</si>
  <si>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</si>
  <si>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</si>
  <si>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</si>
  <si>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</si>
  <si>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</si>
  <si>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</si>
  <si>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</si>
  <si>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</si>
  <si>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</si>
  <si>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</si>
  <si>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</si>
  <si>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</si>
  <si>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</si>
  <si>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</si>
  <si>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</si>
  <si>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</si>
  <si>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</si>
  <si>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</si>
  <si>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</si>
  <si>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Response</t>
  </si>
  <si>
    <t>Age</t>
  </si>
  <si>
    <t>Total_Children</t>
  </si>
  <si>
    <t>Total_Spending</t>
  </si>
  <si>
    <t>Column1</t>
  </si>
  <si>
    <t>Total_Purchases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</si>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</sst>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" fontId="1" fillId="2" borderId="2" xfId="0" applyNumberFormat="1" applyFont="1" applyFill="1" applyBorder="1"/>
    <xf numFmtId="14" fontId="1" fillId="2" borderId="2" xfId="0" applyNumberFormat="1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" fontId="0" fillId="3" borderId="2" xfId="0" applyNumberFormat="1" applyFill="1" applyBorder="1"/>
    <xf numFmtId="14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1" fontId="0" fillId="0" borderId="2" xfId="0" applyNumberFormat="1" applyBorder="1"/>
    <xf numFmtId="14" fontId="0" fillId="0" borderId="2" xfId="0" applyNumberForma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ay1%20excel%20cleaned%20soln/1st%20cust,%20cleaned%20soln.xlsx" TargetMode="External"/><Relationship Id="rId2" Type="http://schemas.openxmlformats.org/officeDocument/2006/relationships/externalLinkPath" Target="file:///C:\Users\GradyArchie\Desktop\excel%20task\day1%20excel%20cleaned%20soln\1st%20cust,%20cleaned%20soln.xlsx" TargetMode="External"/><Relationship Id="rId1" Type="http://schemas.openxmlformats.org/officeDocument/2006/relationships/externalLinkPath" Target="/Users/GradyArchie/Desktop/excel%20task/day1%20excel%20cleaned%20soln/1st%20cust,%20cleaned%20sol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st cust, raw marketing_campaig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80BDA-587D-47D7-83E1-CF41FADFE695}">
  <dimension ref="A1:AF193"/>
  <sheetViews>
    <sheetView tabSelected="1" workbookViewId="0">
      <selection sqref="A1:AF193"/>
    </sheetView>
  </sheetViews>
  <sheetFormatPr defaultRowHeight="14.4" x14ac:dyDescent="0.3"/>
  <sheetData>
    <row r="1" spans="1:32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5" t="s">
        <v>31</v>
      </c>
    </row>
    <row r="2" spans="1:32" x14ac:dyDescent="0.3">
      <c r="A2" s="6">
        <v>5524</v>
      </c>
      <c r="B2" s="7">
        <v>1957</v>
      </c>
      <c r="C2" s="7" t="s">
        <v>32</v>
      </c>
      <c r="D2" s="7" t="s">
        <v>33</v>
      </c>
      <c r="E2" s="8">
        <v>58138</v>
      </c>
      <c r="F2" s="7">
        <v>0</v>
      </c>
      <c r="G2" s="7">
        <v>0</v>
      </c>
      <c r="H2" s="9">
        <v>41156</v>
      </c>
      <c r="I2" s="7">
        <v>58</v>
      </c>
      <c r="J2" s="7">
        <v>635</v>
      </c>
      <c r="K2" s="7">
        <v>88</v>
      </c>
      <c r="L2" s="7">
        <v>546</v>
      </c>
      <c r="M2" s="7">
        <v>172</v>
      </c>
      <c r="N2" s="7">
        <v>88</v>
      </c>
      <c r="O2" s="7">
        <v>88</v>
      </c>
      <c r="P2" s="7">
        <v>3</v>
      </c>
      <c r="Q2" s="7">
        <v>8</v>
      </c>
      <c r="R2" s="7">
        <v>10</v>
      </c>
      <c r="S2" s="7">
        <v>4</v>
      </c>
      <c r="T2" s="7">
        <v>7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1</v>
      </c>
      <c r="AB2" s="7">
        <f t="shared" ref="AB2:AB65" ca="1" si="0">YEAR(TODAY())-B2</f>
        <v>69</v>
      </c>
      <c r="AC2" s="7">
        <f>[1]!Table1[[#This Row],[Kidhome]]+[1]!Table1[[#This Row],[Teenhome]]</f>
        <v>0</v>
      </c>
      <c r="AD2" s="7">
        <f t="shared" ref="AD2:AD65" si="1">SUM(J2:O2)</f>
        <v>1617</v>
      </c>
      <c r="AE2" s="7">
        <f t="shared" ref="AE2:AE65" si="2">P2+Q2+R2</f>
        <v>21</v>
      </c>
      <c r="AF2" s="10">
        <f t="shared" ref="AF2:AF65" si="3">P2+Q2+R2</f>
        <v>21</v>
      </c>
    </row>
    <row r="3" spans="1:32" x14ac:dyDescent="0.3">
      <c r="A3" s="11">
        <v>2174</v>
      </c>
      <c r="B3" s="12">
        <v>1954</v>
      </c>
      <c r="C3" s="12" t="s">
        <v>32</v>
      </c>
      <c r="D3" s="12" t="s">
        <v>33</v>
      </c>
      <c r="E3" s="13">
        <v>46344</v>
      </c>
      <c r="F3" s="12">
        <v>1</v>
      </c>
      <c r="G3" s="12">
        <v>1</v>
      </c>
      <c r="H3" s="14">
        <v>41706</v>
      </c>
      <c r="I3" s="12">
        <v>38</v>
      </c>
      <c r="J3" s="12">
        <v>11</v>
      </c>
      <c r="K3" s="12">
        <v>1</v>
      </c>
      <c r="L3" s="12">
        <v>6</v>
      </c>
      <c r="M3" s="12">
        <v>2</v>
      </c>
      <c r="N3" s="12">
        <v>1</v>
      </c>
      <c r="O3" s="12">
        <v>6</v>
      </c>
      <c r="P3" s="12">
        <v>2</v>
      </c>
      <c r="Q3" s="12">
        <v>1</v>
      </c>
      <c r="R3" s="12">
        <v>1</v>
      </c>
      <c r="S3" s="12">
        <v>2</v>
      </c>
      <c r="T3" s="12">
        <v>5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f t="shared" ca="1" si="0"/>
        <v>72</v>
      </c>
      <c r="AC3" s="12">
        <f>[1]!Table1[[#This Row],[Kidhome]]+[1]!Table1[[#This Row],[Teenhome]]</f>
        <v>2</v>
      </c>
      <c r="AD3" s="12">
        <f t="shared" si="1"/>
        <v>27</v>
      </c>
      <c r="AE3" s="12">
        <f t="shared" si="2"/>
        <v>4</v>
      </c>
      <c r="AF3" s="15">
        <f t="shared" si="3"/>
        <v>4</v>
      </c>
    </row>
    <row r="4" spans="1:32" x14ac:dyDescent="0.3">
      <c r="A4" s="6">
        <v>4141</v>
      </c>
      <c r="B4" s="7">
        <v>1965</v>
      </c>
      <c r="C4" s="7" t="s">
        <v>32</v>
      </c>
      <c r="D4" s="7" t="s">
        <v>34</v>
      </c>
      <c r="E4" s="8">
        <v>71613</v>
      </c>
      <c r="F4" s="7">
        <v>0</v>
      </c>
      <c r="G4" s="7">
        <v>0</v>
      </c>
      <c r="H4" s="9">
        <v>41507</v>
      </c>
      <c r="I4" s="7">
        <v>26</v>
      </c>
      <c r="J4" s="7">
        <v>426</v>
      </c>
      <c r="K4" s="7">
        <v>49</v>
      </c>
      <c r="L4" s="7">
        <v>127</v>
      </c>
      <c r="M4" s="7">
        <v>111</v>
      </c>
      <c r="N4" s="7">
        <v>21</v>
      </c>
      <c r="O4" s="7">
        <v>42</v>
      </c>
      <c r="P4" s="7">
        <v>1</v>
      </c>
      <c r="Q4" s="7">
        <v>8</v>
      </c>
      <c r="R4" s="7">
        <v>2</v>
      </c>
      <c r="S4" s="7">
        <v>10</v>
      </c>
      <c r="T4" s="7">
        <v>4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f t="shared" ca="1" si="0"/>
        <v>61</v>
      </c>
      <c r="AC4" s="7">
        <f>[1]!Table1[[#This Row],[Kidhome]]+[1]!Table1[[#This Row],[Teenhome]]</f>
        <v>0</v>
      </c>
      <c r="AD4" s="7">
        <f t="shared" si="1"/>
        <v>776</v>
      </c>
      <c r="AE4" s="7">
        <f t="shared" si="2"/>
        <v>11</v>
      </c>
      <c r="AF4" s="10">
        <f t="shared" si="3"/>
        <v>11</v>
      </c>
    </row>
    <row r="5" spans="1:32" x14ac:dyDescent="0.3">
      <c r="A5" s="11">
        <v>6182</v>
      </c>
      <c r="B5" s="12">
        <v>1984</v>
      </c>
      <c r="C5" s="12" t="s">
        <v>32</v>
      </c>
      <c r="D5" s="12" t="s">
        <v>34</v>
      </c>
      <c r="E5" s="13">
        <v>26646</v>
      </c>
      <c r="F5" s="12">
        <v>1</v>
      </c>
      <c r="G5" s="12">
        <v>0</v>
      </c>
      <c r="H5" s="14">
        <v>41680</v>
      </c>
      <c r="I5" s="12">
        <v>26</v>
      </c>
      <c r="J5" s="12">
        <v>11</v>
      </c>
      <c r="K5" s="12">
        <v>4</v>
      </c>
      <c r="L5" s="12">
        <v>20</v>
      </c>
      <c r="M5" s="12">
        <v>10</v>
      </c>
      <c r="N5" s="12">
        <v>3</v>
      </c>
      <c r="O5" s="12">
        <v>5</v>
      </c>
      <c r="P5" s="12">
        <v>2</v>
      </c>
      <c r="Q5" s="12">
        <v>2</v>
      </c>
      <c r="R5" s="12">
        <v>0</v>
      </c>
      <c r="S5" s="12">
        <v>4</v>
      </c>
      <c r="T5" s="12">
        <v>6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f t="shared" ca="1" si="0"/>
        <v>42</v>
      </c>
      <c r="AC5" s="12">
        <f>[1]!Table1[[#This Row],[Kidhome]]+[1]!Table1[[#This Row],[Teenhome]]</f>
        <v>1</v>
      </c>
      <c r="AD5" s="12">
        <f t="shared" si="1"/>
        <v>53</v>
      </c>
      <c r="AE5" s="12">
        <f t="shared" si="2"/>
        <v>4</v>
      </c>
      <c r="AF5" s="15">
        <f t="shared" si="3"/>
        <v>4</v>
      </c>
    </row>
    <row r="6" spans="1:32" x14ac:dyDescent="0.3">
      <c r="A6" s="6">
        <v>5324</v>
      </c>
      <c r="B6" s="7">
        <v>1981</v>
      </c>
      <c r="C6" s="7" t="s">
        <v>35</v>
      </c>
      <c r="D6" s="7" t="s">
        <v>36</v>
      </c>
      <c r="E6" s="8">
        <v>58293</v>
      </c>
      <c r="F6" s="7">
        <v>1</v>
      </c>
      <c r="G6" s="7">
        <v>0</v>
      </c>
      <c r="H6" s="9">
        <v>41658</v>
      </c>
      <c r="I6" s="7">
        <v>94</v>
      </c>
      <c r="J6" s="7">
        <v>173</v>
      </c>
      <c r="K6" s="7">
        <v>43</v>
      </c>
      <c r="L6" s="7">
        <v>118</v>
      </c>
      <c r="M6" s="7">
        <v>46</v>
      </c>
      <c r="N6" s="7">
        <v>27</v>
      </c>
      <c r="O6" s="7">
        <v>15</v>
      </c>
      <c r="P6" s="7">
        <v>5</v>
      </c>
      <c r="Q6" s="7">
        <v>5</v>
      </c>
      <c r="R6" s="7">
        <v>3</v>
      </c>
      <c r="S6" s="7">
        <v>6</v>
      </c>
      <c r="T6" s="7">
        <v>5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f t="shared" ca="1" si="0"/>
        <v>45</v>
      </c>
      <c r="AC6" s="7">
        <f>[1]!Table1[[#This Row],[Kidhome]]+[1]!Table1[[#This Row],[Teenhome]]</f>
        <v>1</v>
      </c>
      <c r="AD6" s="7">
        <f t="shared" si="1"/>
        <v>422</v>
      </c>
      <c r="AE6" s="7">
        <f t="shared" si="2"/>
        <v>13</v>
      </c>
      <c r="AF6" s="10">
        <f t="shared" si="3"/>
        <v>13</v>
      </c>
    </row>
    <row r="7" spans="1:32" x14ac:dyDescent="0.3">
      <c r="A7" s="11">
        <v>7446</v>
      </c>
      <c r="B7" s="12">
        <v>1967</v>
      </c>
      <c r="C7" s="12" t="s">
        <v>37</v>
      </c>
      <c r="D7" s="12" t="s">
        <v>34</v>
      </c>
      <c r="E7" s="13">
        <v>62513</v>
      </c>
      <c r="F7" s="12">
        <v>0</v>
      </c>
      <c r="G7" s="12">
        <v>1</v>
      </c>
      <c r="H7" s="14">
        <v>41526</v>
      </c>
      <c r="I7" s="12">
        <v>16</v>
      </c>
      <c r="J7" s="12">
        <v>520</v>
      </c>
      <c r="K7" s="12">
        <v>42</v>
      </c>
      <c r="L7" s="12">
        <v>98</v>
      </c>
      <c r="M7" s="12">
        <v>0</v>
      </c>
      <c r="N7" s="12">
        <v>42</v>
      </c>
      <c r="O7" s="12">
        <v>14</v>
      </c>
      <c r="P7" s="12">
        <v>2</v>
      </c>
      <c r="Q7" s="12">
        <v>6</v>
      </c>
      <c r="R7" s="12">
        <v>4</v>
      </c>
      <c r="S7" s="12">
        <v>10</v>
      </c>
      <c r="T7" s="12">
        <v>6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f t="shared" ca="1" si="0"/>
        <v>59</v>
      </c>
      <c r="AC7" s="12">
        <f>[1]!Table1[[#This Row],[Kidhome]]+[1]!Table1[[#This Row],[Teenhome]]</f>
        <v>1</v>
      </c>
      <c r="AD7" s="12">
        <f t="shared" si="1"/>
        <v>716</v>
      </c>
      <c r="AE7" s="12">
        <f t="shared" si="2"/>
        <v>12</v>
      </c>
      <c r="AF7" s="15">
        <f t="shared" si="3"/>
        <v>12</v>
      </c>
    </row>
    <row r="8" spans="1:32" x14ac:dyDescent="0.3">
      <c r="A8" s="6">
        <v>965</v>
      </c>
      <c r="B8" s="7">
        <v>1971</v>
      </c>
      <c r="C8" s="7" t="s">
        <v>32</v>
      </c>
      <c r="D8" s="7" t="s">
        <v>38</v>
      </c>
      <c r="E8" s="8">
        <v>55635</v>
      </c>
      <c r="F8" s="7">
        <v>0</v>
      </c>
      <c r="G8" s="7">
        <v>1</v>
      </c>
      <c r="H8" s="9">
        <v>41226</v>
      </c>
      <c r="I8" s="7">
        <v>34</v>
      </c>
      <c r="J8" s="7">
        <v>235</v>
      </c>
      <c r="K8" s="7">
        <v>65</v>
      </c>
      <c r="L8" s="7">
        <v>164</v>
      </c>
      <c r="M8" s="7">
        <v>50</v>
      </c>
      <c r="N8" s="7">
        <v>49</v>
      </c>
      <c r="O8" s="7">
        <v>27</v>
      </c>
      <c r="P8" s="7">
        <v>4</v>
      </c>
      <c r="Q8" s="7">
        <v>7</v>
      </c>
      <c r="R8" s="7">
        <v>3</v>
      </c>
      <c r="S8" s="7">
        <v>7</v>
      </c>
      <c r="T8" s="7">
        <v>6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f t="shared" ca="1" si="0"/>
        <v>55</v>
      </c>
      <c r="AC8" s="7">
        <f>[1]!Table1[[#This Row],[Kidhome]]+[1]!Table1[[#This Row],[Teenhome]]</f>
        <v>1</v>
      </c>
      <c r="AD8" s="7">
        <f t="shared" si="1"/>
        <v>590</v>
      </c>
      <c r="AE8" s="7">
        <f t="shared" si="2"/>
        <v>14</v>
      </c>
      <c r="AF8" s="10">
        <f t="shared" si="3"/>
        <v>14</v>
      </c>
    </row>
    <row r="9" spans="1:32" x14ac:dyDescent="0.3">
      <c r="A9" s="11">
        <v>6177</v>
      </c>
      <c r="B9" s="12">
        <v>1985</v>
      </c>
      <c r="C9" s="12" t="s">
        <v>35</v>
      </c>
      <c r="D9" s="12" t="s">
        <v>36</v>
      </c>
      <c r="E9" s="13">
        <v>33454</v>
      </c>
      <c r="F9" s="12">
        <v>1</v>
      </c>
      <c r="G9" s="12">
        <v>0</v>
      </c>
      <c r="H9" s="14">
        <v>41402</v>
      </c>
      <c r="I9" s="12">
        <v>32</v>
      </c>
      <c r="J9" s="12">
        <v>76</v>
      </c>
      <c r="K9" s="12">
        <v>10</v>
      </c>
      <c r="L9" s="12">
        <v>56</v>
      </c>
      <c r="M9" s="12">
        <v>3</v>
      </c>
      <c r="N9" s="12">
        <v>1</v>
      </c>
      <c r="O9" s="12">
        <v>23</v>
      </c>
      <c r="P9" s="12">
        <v>2</v>
      </c>
      <c r="Q9" s="12">
        <v>4</v>
      </c>
      <c r="R9" s="12">
        <v>0</v>
      </c>
      <c r="S9" s="12">
        <v>4</v>
      </c>
      <c r="T9" s="12">
        <v>8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f t="shared" ca="1" si="0"/>
        <v>41</v>
      </c>
      <c r="AC9" s="12">
        <f>[1]!Table1[[#This Row],[Kidhome]]+[1]!Table1[[#This Row],[Teenhome]]</f>
        <v>1</v>
      </c>
      <c r="AD9" s="12">
        <f t="shared" si="1"/>
        <v>169</v>
      </c>
      <c r="AE9" s="12">
        <f t="shared" si="2"/>
        <v>6</v>
      </c>
      <c r="AF9" s="15">
        <f t="shared" si="3"/>
        <v>6</v>
      </c>
    </row>
    <row r="10" spans="1:32" x14ac:dyDescent="0.3">
      <c r="A10" s="6">
        <v>4855</v>
      </c>
      <c r="B10" s="7">
        <v>1974</v>
      </c>
      <c r="C10" s="7" t="s">
        <v>35</v>
      </c>
      <c r="D10" s="7" t="s">
        <v>34</v>
      </c>
      <c r="E10" s="8">
        <v>30351</v>
      </c>
      <c r="F10" s="7">
        <v>1</v>
      </c>
      <c r="G10" s="7">
        <v>0</v>
      </c>
      <c r="H10" s="9">
        <v>41431</v>
      </c>
      <c r="I10" s="7">
        <v>19</v>
      </c>
      <c r="J10" s="7">
        <v>14</v>
      </c>
      <c r="K10" s="7">
        <v>0</v>
      </c>
      <c r="L10" s="7">
        <v>24</v>
      </c>
      <c r="M10" s="7">
        <v>3</v>
      </c>
      <c r="N10" s="7">
        <v>3</v>
      </c>
      <c r="O10" s="7">
        <v>2</v>
      </c>
      <c r="P10" s="7">
        <v>1</v>
      </c>
      <c r="Q10" s="7">
        <v>3</v>
      </c>
      <c r="R10" s="7">
        <v>0</v>
      </c>
      <c r="S10" s="7">
        <v>2</v>
      </c>
      <c r="T10" s="7">
        <v>9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1</v>
      </c>
      <c r="AB10" s="7">
        <f t="shared" ca="1" si="0"/>
        <v>52</v>
      </c>
      <c r="AC10" s="7">
        <f>[1]!Table1[[#This Row],[Kidhome]]+[1]!Table1[[#This Row],[Teenhome]]</f>
        <v>1</v>
      </c>
      <c r="AD10" s="7">
        <f t="shared" si="1"/>
        <v>46</v>
      </c>
      <c r="AE10" s="7">
        <f t="shared" si="2"/>
        <v>4</v>
      </c>
      <c r="AF10" s="10">
        <f t="shared" si="3"/>
        <v>4</v>
      </c>
    </row>
    <row r="11" spans="1:32" x14ac:dyDescent="0.3">
      <c r="A11" s="11">
        <v>5899</v>
      </c>
      <c r="B11" s="12">
        <v>1950</v>
      </c>
      <c r="C11" s="12" t="s">
        <v>35</v>
      </c>
      <c r="D11" s="12" t="s">
        <v>34</v>
      </c>
      <c r="E11" s="13">
        <v>5648</v>
      </c>
      <c r="F11" s="12">
        <v>1</v>
      </c>
      <c r="G11" s="12">
        <v>1</v>
      </c>
      <c r="H11" s="14">
        <v>41711</v>
      </c>
      <c r="I11" s="12">
        <v>68</v>
      </c>
      <c r="J11" s="12">
        <v>28</v>
      </c>
      <c r="K11" s="12">
        <v>0</v>
      </c>
      <c r="L11" s="12">
        <v>6</v>
      </c>
      <c r="M11" s="12">
        <v>1</v>
      </c>
      <c r="N11" s="12">
        <v>1</v>
      </c>
      <c r="O11" s="12">
        <v>13</v>
      </c>
      <c r="P11" s="12">
        <v>1</v>
      </c>
      <c r="Q11" s="12">
        <v>1</v>
      </c>
      <c r="R11" s="12">
        <v>0</v>
      </c>
      <c r="S11" s="12">
        <v>0</v>
      </c>
      <c r="T11" s="12">
        <v>20</v>
      </c>
      <c r="U11" s="12">
        <v>1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f t="shared" ca="1" si="0"/>
        <v>76</v>
      </c>
      <c r="AC11" s="12">
        <f>[1]!Table1[[#This Row],[Kidhome]]+[1]!Table1[[#This Row],[Teenhome]]</f>
        <v>2</v>
      </c>
      <c r="AD11" s="12">
        <f t="shared" si="1"/>
        <v>49</v>
      </c>
      <c r="AE11" s="12">
        <f t="shared" si="2"/>
        <v>2</v>
      </c>
      <c r="AF11" s="15">
        <f t="shared" si="3"/>
        <v>2</v>
      </c>
    </row>
    <row r="12" spans="1:32" x14ac:dyDescent="0.3">
      <c r="A12" s="6">
        <v>1994</v>
      </c>
      <c r="B12" s="7">
        <v>1983</v>
      </c>
      <c r="C12" s="7" t="s">
        <v>32</v>
      </c>
      <c r="D12" s="7" t="s">
        <v>36</v>
      </c>
      <c r="E12" s="8">
        <f>VALUE(E2)</f>
        <v>58138</v>
      </c>
      <c r="F12" s="7">
        <v>1</v>
      </c>
      <c r="G12" s="7">
        <v>0</v>
      </c>
      <c r="H12" s="9">
        <v>41593</v>
      </c>
      <c r="I12" s="7">
        <v>11</v>
      </c>
      <c r="J12" s="7">
        <v>5</v>
      </c>
      <c r="K12" s="7">
        <v>5</v>
      </c>
      <c r="L12" s="7">
        <v>6</v>
      </c>
      <c r="M12" s="7">
        <v>0</v>
      </c>
      <c r="N12" s="7">
        <v>2</v>
      </c>
      <c r="O12" s="7">
        <v>1</v>
      </c>
      <c r="P12" s="7">
        <v>1</v>
      </c>
      <c r="Q12" s="7">
        <v>1</v>
      </c>
      <c r="R12" s="7">
        <v>0</v>
      </c>
      <c r="S12" s="7">
        <v>2</v>
      </c>
      <c r="T12" s="7">
        <v>7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f t="shared" ca="1" si="0"/>
        <v>43</v>
      </c>
      <c r="AC12" s="7">
        <f>[1]!Table1[[#This Row],[Kidhome]]+[1]!Table1[[#This Row],[Teenhome]]</f>
        <v>1</v>
      </c>
      <c r="AD12" s="7">
        <f t="shared" si="1"/>
        <v>19</v>
      </c>
      <c r="AE12" s="7">
        <f t="shared" si="2"/>
        <v>2</v>
      </c>
      <c r="AF12" s="10">
        <f t="shared" si="3"/>
        <v>2</v>
      </c>
    </row>
    <row r="13" spans="1:32" x14ac:dyDescent="0.3">
      <c r="A13" s="11">
        <v>387</v>
      </c>
      <c r="B13" s="12">
        <v>1976</v>
      </c>
      <c r="C13" s="12" t="s">
        <v>39</v>
      </c>
      <c r="D13" s="12" t="s">
        <v>36</v>
      </c>
      <c r="E13" s="13">
        <v>7500</v>
      </c>
      <c r="F13" s="12">
        <v>0</v>
      </c>
      <c r="G13" s="12">
        <v>0</v>
      </c>
      <c r="H13" s="14">
        <v>41226</v>
      </c>
      <c r="I13" s="12">
        <v>59</v>
      </c>
      <c r="J13" s="12">
        <v>6</v>
      </c>
      <c r="K13" s="12">
        <v>16</v>
      </c>
      <c r="L13" s="12">
        <v>11</v>
      </c>
      <c r="M13" s="12">
        <v>11</v>
      </c>
      <c r="N13" s="12">
        <v>1</v>
      </c>
      <c r="O13" s="12">
        <v>16</v>
      </c>
      <c r="P13" s="12">
        <v>1</v>
      </c>
      <c r="Q13" s="12">
        <v>2</v>
      </c>
      <c r="R13" s="12">
        <v>0</v>
      </c>
      <c r="S13" s="12">
        <v>3</v>
      </c>
      <c r="T13" s="12">
        <v>8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f t="shared" ca="1" si="0"/>
        <v>50</v>
      </c>
      <c r="AC13" s="12">
        <f>[1]!Table1[[#This Row],[Kidhome]]+[1]!Table1[[#This Row],[Teenhome]]</f>
        <v>0</v>
      </c>
      <c r="AD13" s="12">
        <f t="shared" si="1"/>
        <v>61</v>
      </c>
      <c r="AE13" s="12">
        <f t="shared" si="2"/>
        <v>3</v>
      </c>
      <c r="AF13" s="15">
        <f t="shared" si="3"/>
        <v>3</v>
      </c>
    </row>
    <row r="14" spans="1:32" x14ac:dyDescent="0.3">
      <c r="A14" s="6">
        <v>2125</v>
      </c>
      <c r="B14" s="7">
        <v>1959</v>
      </c>
      <c r="C14" s="7" t="s">
        <v>32</v>
      </c>
      <c r="D14" s="7" t="s">
        <v>38</v>
      </c>
      <c r="E14" s="8">
        <v>63033</v>
      </c>
      <c r="F14" s="7">
        <v>0</v>
      </c>
      <c r="G14" s="7">
        <v>0</v>
      </c>
      <c r="H14" s="9">
        <v>41593</v>
      </c>
      <c r="I14" s="7">
        <v>82</v>
      </c>
      <c r="J14" s="7">
        <v>194</v>
      </c>
      <c r="K14" s="7">
        <v>61</v>
      </c>
      <c r="L14" s="7">
        <v>480</v>
      </c>
      <c r="M14" s="7">
        <v>225</v>
      </c>
      <c r="N14" s="7">
        <v>112</v>
      </c>
      <c r="O14" s="7">
        <v>30</v>
      </c>
      <c r="P14" s="7">
        <v>1</v>
      </c>
      <c r="Q14" s="7">
        <v>3</v>
      </c>
      <c r="R14" s="7">
        <v>4</v>
      </c>
      <c r="S14" s="7">
        <v>8</v>
      </c>
      <c r="T14" s="7">
        <v>2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f t="shared" ca="1" si="0"/>
        <v>67</v>
      </c>
      <c r="AC14" s="7">
        <f>[1]!Table1[[#This Row],[Kidhome]]+[1]!Table1[[#This Row],[Teenhome]]</f>
        <v>0</v>
      </c>
      <c r="AD14" s="7">
        <f t="shared" si="1"/>
        <v>1102</v>
      </c>
      <c r="AE14" s="7">
        <f t="shared" si="2"/>
        <v>8</v>
      </c>
      <c r="AF14" s="10">
        <f t="shared" si="3"/>
        <v>8</v>
      </c>
    </row>
    <row r="15" spans="1:32" x14ac:dyDescent="0.3">
      <c r="A15" s="11">
        <v>8180</v>
      </c>
      <c r="B15" s="12">
        <v>1952</v>
      </c>
      <c r="C15" s="12" t="s">
        <v>37</v>
      </c>
      <c r="D15" s="12" t="s">
        <v>38</v>
      </c>
      <c r="E15" s="13">
        <v>59354</v>
      </c>
      <c r="F15" s="12">
        <v>1</v>
      </c>
      <c r="G15" s="12">
        <v>1</v>
      </c>
      <c r="H15" s="14">
        <v>41593</v>
      </c>
      <c r="I15" s="12">
        <v>53</v>
      </c>
      <c r="J15" s="12">
        <v>233</v>
      </c>
      <c r="K15" s="12">
        <v>2</v>
      </c>
      <c r="L15" s="12">
        <v>53</v>
      </c>
      <c r="M15" s="12">
        <v>3</v>
      </c>
      <c r="N15" s="12">
        <v>5</v>
      </c>
      <c r="O15" s="12">
        <v>14</v>
      </c>
      <c r="P15" s="12">
        <v>3</v>
      </c>
      <c r="Q15" s="12">
        <v>6</v>
      </c>
      <c r="R15" s="12">
        <v>1</v>
      </c>
      <c r="S15" s="12">
        <v>5</v>
      </c>
      <c r="T15" s="12">
        <v>6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f t="shared" ca="1" si="0"/>
        <v>74</v>
      </c>
      <c r="AC15" s="12">
        <f>[1]!Table1[[#This Row],[Kidhome]]+[1]!Table1[[#This Row],[Teenhome]]</f>
        <v>2</v>
      </c>
      <c r="AD15" s="12">
        <f t="shared" si="1"/>
        <v>310</v>
      </c>
      <c r="AE15" s="12">
        <f t="shared" si="2"/>
        <v>10</v>
      </c>
      <c r="AF15" s="15">
        <f t="shared" si="3"/>
        <v>10</v>
      </c>
    </row>
    <row r="16" spans="1:32" x14ac:dyDescent="0.3">
      <c r="A16" s="6">
        <v>2569</v>
      </c>
      <c r="B16" s="7">
        <v>1987</v>
      </c>
      <c r="C16" s="7" t="s">
        <v>32</v>
      </c>
      <c r="D16" s="7" t="s">
        <v>36</v>
      </c>
      <c r="E16" s="8">
        <v>17323</v>
      </c>
      <c r="F16" s="7">
        <v>0</v>
      </c>
      <c r="G16" s="7">
        <v>0</v>
      </c>
      <c r="H16" s="9">
        <v>41192</v>
      </c>
      <c r="I16" s="7">
        <v>38</v>
      </c>
      <c r="J16" s="7">
        <v>3</v>
      </c>
      <c r="K16" s="7">
        <v>14</v>
      </c>
      <c r="L16" s="7">
        <v>17</v>
      </c>
      <c r="M16" s="7">
        <v>6</v>
      </c>
      <c r="N16" s="7">
        <v>1</v>
      </c>
      <c r="O16" s="7">
        <v>5</v>
      </c>
      <c r="P16" s="7">
        <v>1</v>
      </c>
      <c r="Q16" s="7">
        <v>1</v>
      </c>
      <c r="R16" s="7">
        <v>0</v>
      </c>
      <c r="S16" s="7">
        <v>3</v>
      </c>
      <c r="T16" s="7">
        <v>8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f t="shared" ca="1" si="0"/>
        <v>39</v>
      </c>
      <c r="AC16" s="7">
        <f>[1]!Table1[[#This Row],[Kidhome]]+[1]!Table1[[#This Row],[Teenhome]]</f>
        <v>0</v>
      </c>
      <c r="AD16" s="7">
        <f t="shared" si="1"/>
        <v>46</v>
      </c>
      <c r="AE16" s="7">
        <f t="shared" si="2"/>
        <v>2</v>
      </c>
      <c r="AF16" s="10">
        <f t="shared" si="3"/>
        <v>2</v>
      </c>
    </row>
    <row r="17" spans="1:32" x14ac:dyDescent="0.3">
      <c r="A17" s="11">
        <v>2114</v>
      </c>
      <c r="B17" s="12">
        <v>1946</v>
      </c>
      <c r="C17" s="12" t="s">
        <v>35</v>
      </c>
      <c r="D17" s="12" t="s">
        <v>33</v>
      </c>
      <c r="E17" s="13">
        <v>82800</v>
      </c>
      <c r="F17" s="12">
        <v>0</v>
      </c>
      <c r="G17" s="12">
        <v>0</v>
      </c>
      <c r="H17" s="14">
        <v>41237</v>
      </c>
      <c r="I17" s="12">
        <v>23</v>
      </c>
      <c r="J17" s="12">
        <v>1006</v>
      </c>
      <c r="K17" s="12">
        <v>22</v>
      </c>
      <c r="L17" s="12">
        <v>115</v>
      </c>
      <c r="M17" s="12">
        <v>59</v>
      </c>
      <c r="N17" s="12">
        <v>68</v>
      </c>
      <c r="O17" s="12">
        <v>45</v>
      </c>
      <c r="P17" s="12">
        <v>1</v>
      </c>
      <c r="Q17" s="12">
        <v>7</v>
      </c>
      <c r="R17" s="12">
        <v>6</v>
      </c>
      <c r="S17" s="12">
        <v>12</v>
      </c>
      <c r="T17" s="12">
        <v>3</v>
      </c>
      <c r="U17" s="12">
        <v>0</v>
      </c>
      <c r="V17" s="12">
        <v>0</v>
      </c>
      <c r="W17" s="12">
        <v>1</v>
      </c>
      <c r="X17" s="12">
        <v>1</v>
      </c>
      <c r="Y17" s="12">
        <v>0</v>
      </c>
      <c r="Z17" s="12">
        <v>0</v>
      </c>
      <c r="AA17" s="12">
        <v>1</v>
      </c>
      <c r="AB17" s="12">
        <f t="shared" ca="1" si="0"/>
        <v>80</v>
      </c>
      <c r="AC17" s="12">
        <f>[1]!Table1[[#This Row],[Kidhome]]+[1]!Table1[[#This Row],[Teenhome]]</f>
        <v>0</v>
      </c>
      <c r="AD17" s="12">
        <f t="shared" si="1"/>
        <v>1315</v>
      </c>
      <c r="AE17" s="12">
        <f t="shared" si="2"/>
        <v>14</v>
      </c>
      <c r="AF17" s="15">
        <f t="shared" si="3"/>
        <v>14</v>
      </c>
    </row>
    <row r="18" spans="1:32" x14ac:dyDescent="0.3">
      <c r="A18" s="6">
        <v>9736</v>
      </c>
      <c r="B18" s="7">
        <v>1980</v>
      </c>
      <c r="C18" s="7" t="s">
        <v>32</v>
      </c>
      <c r="D18" s="7" t="s">
        <v>36</v>
      </c>
      <c r="E18" s="8">
        <v>41850</v>
      </c>
      <c r="F18" s="7">
        <v>1</v>
      </c>
      <c r="G18" s="7">
        <v>1</v>
      </c>
      <c r="H18" s="9">
        <v>41267</v>
      </c>
      <c r="I18" s="7">
        <v>51</v>
      </c>
      <c r="J18" s="7">
        <v>53</v>
      </c>
      <c r="K18" s="7">
        <v>5</v>
      </c>
      <c r="L18" s="7">
        <v>19</v>
      </c>
      <c r="M18" s="7">
        <v>2</v>
      </c>
      <c r="N18" s="7">
        <v>13</v>
      </c>
      <c r="O18" s="7">
        <v>4</v>
      </c>
      <c r="P18" s="7">
        <v>3</v>
      </c>
      <c r="Q18" s="7">
        <v>3</v>
      </c>
      <c r="R18" s="7">
        <v>0</v>
      </c>
      <c r="S18" s="7">
        <v>3</v>
      </c>
      <c r="T18" s="7">
        <v>8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f t="shared" ca="1" si="0"/>
        <v>46</v>
      </c>
      <c r="AC18" s="7">
        <f>[1]!Table1[[#This Row],[Kidhome]]+[1]!Table1[[#This Row],[Teenhome]]</f>
        <v>2</v>
      </c>
      <c r="AD18" s="7">
        <f t="shared" si="1"/>
        <v>96</v>
      </c>
      <c r="AE18" s="7">
        <f t="shared" si="2"/>
        <v>6</v>
      </c>
      <c r="AF18" s="10">
        <f t="shared" si="3"/>
        <v>6</v>
      </c>
    </row>
    <row r="19" spans="1:32" x14ac:dyDescent="0.3">
      <c r="A19" s="11">
        <v>4939</v>
      </c>
      <c r="B19" s="12">
        <v>1946</v>
      </c>
      <c r="C19" s="12" t="s">
        <v>32</v>
      </c>
      <c r="D19" s="12" t="s">
        <v>34</v>
      </c>
      <c r="E19" s="13">
        <v>37760</v>
      </c>
      <c r="F19" s="12">
        <v>0</v>
      </c>
      <c r="G19" s="12">
        <v>0</v>
      </c>
      <c r="H19" s="14">
        <v>41152</v>
      </c>
      <c r="I19" s="12">
        <v>20</v>
      </c>
      <c r="J19" s="12">
        <v>84</v>
      </c>
      <c r="K19" s="12">
        <v>5</v>
      </c>
      <c r="L19" s="12">
        <v>38</v>
      </c>
      <c r="M19" s="12">
        <v>150</v>
      </c>
      <c r="N19" s="12">
        <v>12</v>
      </c>
      <c r="O19" s="12">
        <v>28</v>
      </c>
      <c r="P19" s="12">
        <v>2</v>
      </c>
      <c r="Q19" s="12">
        <v>4</v>
      </c>
      <c r="R19" s="12">
        <v>1</v>
      </c>
      <c r="S19" s="12">
        <v>6</v>
      </c>
      <c r="T19" s="12">
        <v>7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f t="shared" ca="1" si="0"/>
        <v>80</v>
      </c>
      <c r="AC19" s="12">
        <f>[1]!Table1[[#This Row],[Kidhome]]+[1]!Table1[[#This Row],[Teenhome]]</f>
        <v>0</v>
      </c>
      <c r="AD19" s="12">
        <f t="shared" si="1"/>
        <v>317</v>
      </c>
      <c r="AE19" s="12">
        <f t="shared" si="2"/>
        <v>7</v>
      </c>
      <c r="AF19" s="15">
        <f t="shared" si="3"/>
        <v>7</v>
      </c>
    </row>
    <row r="20" spans="1:32" x14ac:dyDescent="0.3">
      <c r="A20" s="6">
        <v>6565</v>
      </c>
      <c r="B20" s="7">
        <v>1949</v>
      </c>
      <c r="C20" s="7" t="s">
        <v>37</v>
      </c>
      <c r="D20" s="7" t="s">
        <v>36</v>
      </c>
      <c r="E20" s="8">
        <v>76995</v>
      </c>
      <c r="F20" s="7">
        <v>0</v>
      </c>
      <c r="G20" s="7">
        <v>1</v>
      </c>
      <c r="H20" s="9">
        <v>41361</v>
      </c>
      <c r="I20" s="7">
        <v>91</v>
      </c>
      <c r="J20" s="7">
        <v>1012</v>
      </c>
      <c r="K20" s="7">
        <v>80</v>
      </c>
      <c r="L20" s="7">
        <v>498</v>
      </c>
      <c r="M20" s="7">
        <v>0</v>
      </c>
      <c r="N20" s="7">
        <v>16</v>
      </c>
      <c r="O20" s="7">
        <v>176</v>
      </c>
      <c r="P20" s="7">
        <v>2</v>
      </c>
      <c r="Q20" s="7">
        <v>11</v>
      </c>
      <c r="R20" s="7">
        <v>4</v>
      </c>
      <c r="S20" s="7">
        <v>9</v>
      </c>
      <c r="T20" s="7">
        <v>5</v>
      </c>
      <c r="U20" s="7">
        <v>0</v>
      </c>
      <c r="V20" s="7">
        <v>0</v>
      </c>
      <c r="W20" s="7">
        <v>0</v>
      </c>
      <c r="X20" s="7">
        <v>1</v>
      </c>
      <c r="Y20" s="7">
        <v>0</v>
      </c>
      <c r="Z20" s="7">
        <v>0</v>
      </c>
      <c r="AA20" s="7">
        <v>0</v>
      </c>
      <c r="AB20" s="7">
        <f t="shared" ca="1" si="0"/>
        <v>77</v>
      </c>
      <c r="AC20" s="7">
        <f>[1]!Table1[[#This Row],[Kidhome]]+[1]!Table1[[#This Row],[Teenhome]]</f>
        <v>1</v>
      </c>
      <c r="AD20" s="7">
        <f t="shared" si="1"/>
        <v>1782</v>
      </c>
      <c r="AE20" s="7">
        <f t="shared" si="2"/>
        <v>17</v>
      </c>
      <c r="AF20" s="10">
        <f t="shared" si="3"/>
        <v>17</v>
      </c>
    </row>
    <row r="21" spans="1:32" x14ac:dyDescent="0.3">
      <c r="A21" s="11">
        <v>2278</v>
      </c>
      <c r="B21" s="12">
        <v>1985</v>
      </c>
      <c r="C21" s="12" t="s">
        <v>40</v>
      </c>
      <c r="D21" s="12" t="s">
        <v>33</v>
      </c>
      <c r="E21" s="13">
        <v>33812</v>
      </c>
      <c r="F21" s="12">
        <v>1</v>
      </c>
      <c r="G21" s="12">
        <v>0</v>
      </c>
      <c r="H21" s="14">
        <v>41216</v>
      </c>
      <c r="I21" s="12">
        <v>86</v>
      </c>
      <c r="J21" s="12">
        <v>4</v>
      </c>
      <c r="K21" s="12">
        <v>17</v>
      </c>
      <c r="L21" s="12">
        <v>19</v>
      </c>
      <c r="M21" s="12">
        <v>30</v>
      </c>
      <c r="N21" s="12">
        <v>24</v>
      </c>
      <c r="O21" s="12">
        <v>39</v>
      </c>
      <c r="P21" s="12">
        <v>2</v>
      </c>
      <c r="Q21" s="12">
        <v>2</v>
      </c>
      <c r="R21" s="12">
        <v>1</v>
      </c>
      <c r="S21" s="12">
        <v>3</v>
      </c>
      <c r="T21" s="12">
        <v>6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f t="shared" ca="1" si="0"/>
        <v>41</v>
      </c>
      <c r="AC21" s="12">
        <f>[1]!Table1[[#This Row],[Kidhome]]+[1]!Table1[[#This Row],[Teenhome]]</f>
        <v>1</v>
      </c>
      <c r="AD21" s="12">
        <f t="shared" si="1"/>
        <v>133</v>
      </c>
      <c r="AE21" s="12">
        <f t="shared" si="2"/>
        <v>5</v>
      </c>
      <c r="AF21" s="15">
        <f t="shared" si="3"/>
        <v>5</v>
      </c>
    </row>
    <row r="22" spans="1:32" x14ac:dyDescent="0.3">
      <c r="A22" s="6">
        <v>9360</v>
      </c>
      <c r="B22" s="7">
        <v>1982</v>
      </c>
      <c r="C22" s="7" t="s">
        <v>32</v>
      </c>
      <c r="D22" s="7" t="s">
        <v>36</v>
      </c>
      <c r="E22" s="8">
        <v>37040</v>
      </c>
      <c r="F22" s="7">
        <v>0</v>
      </c>
      <c r="G22" s="7">
        <v>0</v>
      </c>
      <c r="H22" s="9">
        <v>41129</v>
      </c>
      <c r="I22" s="7">
        <v>41</v>
      </c>
      <c r="J22" s="7">
        <v>86</v>
      </c>
      <c r="K22" s="7">
        <v>2</v>
      </c>
      <c r="L22" s="7">
        <v>73</v>
      </c>
      <c r="M22" s="7">
        <v>69</v>
      </c>
      <c r="N22" s="7">
        <v>38</v>
      </c>
      <c r="O22" s="7">
        <v>48</v>
      </c>
      <c r="P22" s="7">
        <v>1</v>
      </c>
      <c r="Q22" s="7">
        <v>4</v>
      </c>
      <c r="R22" s="7">
        <v>2</v>
      </c>
      <c r="S22" s="7">
        <v>5</v>
      </c>
      <c r="T22" s="7">
        <v>8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f t="shared" ca="1" si="0"/>
        <v>44</v>
      </c>
      <c r="AC22" s="7">
        <f>[1]!Table1[[#This Row],[Kidhome]]+[1]!Table1[[#This Row],[Teenhome]]</f>
        <v>0</v>
      </c>
      <c r="AD22" s="7">
        <f t="shared" si="1"/>
        <v>316</v>
      </c>
      <c r="AE22" s="7">
        <f t="shared" si="2"/>
        <v>7</v>
      </c>
      <c r="AF22" s="10">
        <f t="shared" si="3"/>
        <v>7</v>
      </c>
    </row>
    <row r="23" spans="1:32" x14ac:dyDescent="0.3">
      <c r="A23" s="11">
        <v>5376</v>
      </c>
      <c r="B23" s="12">
        <v>1979</v>
      </c>
      <c r="C23" s="12" t="s">
        <v>32</v>
      </c>
      <c r="D23" s="12" t="s">
        <v>36</v>
      </c>
      <c r="E23" s="13">
        <v>2447</v>
      </c>
      <c r="F23" s="12">
        <v>1</v>
      </c>
      <c r="G23" s="12">
        <v>0</v>
      </c>
      <c r="H23" s="14">
        <v>41280</v>
      </c>
      <c r="I23" s="12">
        <v>42</v>
      </c>
      <c r="J23" s="12">
        <v>1</v>
      </c>
      <c r="K23" s="12">
        <v>1</v>
      </c>
      <c r="L23" s="12">
        <v>1725</v>
      </c>
      <c r="M23" s="12">
        <v>1</v>
      </c>
      <c r="N23" s="12">
        <v>1</v>
      </c>
      <c r="O23" s="12">
        <v>1</v>
      </c>
      <c r="P23" s="12">
        <v>15</v>
      </c>
      <c r="Q23" s="12">
        <v>0</v>
      </c>
      <c r="R23" s="12">
        <v>28</v>
      </c>
      <c r="S23" s="12">
        <v>0</v>
      </c>
      <c r="T23" s="12">
        <v>1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f t="shared" ca="1" si="0"/>
        <v>47</v>
      </c>
      <c r="AC23" s="12">
        <f>[1]!Table1[[#This Row],[Kidhome]]+[1]!Table1[[#This Row],[Teenhome]]</f>
        <v>1</v>
      </c>
      <c r="AD23" s="12">
        <f t="shared" si="1"/>
        <v>1730</v>
      </c>
      <c r="AE23" s="12">
        <f t="shared" si="2"/>
        <v>43</v>
      </c>
      <c r="AF23" s="15">
        <f t="shared" si="3"/>
        <v>43</v>
      </c>
    </row>
    <row r="24" spans="1:32" x14ac:dyDescent="0.3">
      <c r="A24" s="6">
        <v>1993</v>
      </c>
      <c r="B24" s="7">
        <v>1949</v>
      </c>
      <c r="C24" s="7" t="s">
        <v>35</v>
      </c>
      <c r="D24" s="7" t="s">
        <v>36</v>
      </c>
      <c r="E24" s="8">
        <v>58607</v>
      </c>
      <c r="F24" s="7">
        <v>0</v>
      </c>
      <c r="G24" s="7">
        <v>1</v>
      </c>
      <c r="H24" s="9">
        <v>41266</v>
      </c>
      <c r="I24" s="7">
        <v>63</v>
      </c>
      <c r="J24" s="7">
        <v>867</v>
      </c>
      <c r="K24" s="7">
        <v>0</v>
      </c>
      <c r="L24" s="7">
        <v>86</v>
      </c>
      <c r="M24" s="7">
        <v>0</v>
      </c>
      <c r="N24" s="7">
        <v>0</v>
      </c>
      <c r="O24" s="7">
        <v>19</v>
      </c>
      <c r="P24" s="7">
        <v>3</v>
      </c>
      <c r="Q24" s="7">
        <v>2</v>
      </c>
      <c r="R24" s="7">
        <v>3</v>
      </c>
      <c r="S24" s="7">
        <v>9</v>
      </c>
      <c r="T24" s="7">
        <v>8</v>
      </c>
      <c r="U24" s="7">
        <v>0</v>
      </c>
      <c r="V24" s="7">
        <v>1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f t="shared" ca="1" si="0"/>
        <v>77</v>
      </c>
      <c r="AC24" s="7">
        <f>[1]!Table1[[#This Row],[Kidhome]]+[1]!Table1[[#This Row],[Teenhome]]</f>
        <v>1</v>
      </c>
      <c r="AD24" s="7">
        <f t="shared" si="1"/>
        <v>972</v>
      </c>
      <c r="AE24" s="7">
        <f t="shared" si="2"/>
        <v>8</v>
      </c>
      <c r="AF24" s="10">
        <f t="shared" si="3"/>
        <v>8</v>
      </c>
    </row>
    <row r="25" spans="1:32" x14ac:dyDescent="0.3">
      <c r="A25" s="11">
        <v>4047</v>
      </c>
      <c r="B25" s="12">
        <v>1954</v>
      </c>
      <c r="C25" s="12" t="s">
        <v>35</v>
      </c>
      <c r="D25" s="12" t="s">
        <v>36</v>
      </c>
      <c r="E25" s="13">
        <v>65324</v>
      </c>
      <c r="F25" s="12">
        <v>0</v>
      </c>
      <c r="G25" s="12">
        <v>1</v>
      </c>
      <c r="H25" s="14">
        <v>41650</v>
      </c>
      <c r="I25" s="12">
        <v>0</v>
      </c>
      <c r="J25" s="12">
        <v>384</v>
      </c>
      <c r="K25" s="12">
        <v>0</v>
      </c>
      <c r="L25" s="12">
        <v>102</v>
      </c>
      <c r="M25" s="12">
        <v>21</v>
      </c>
      <c r="N25" s="12">
        <v>32</v>
      </c>
      <c r="O25" s="12">
        <v>5</v>
      </c>
      <c r="P25" s="12">
        <v>3</v>
      </c>
      <c r="Q25" s="12">
        <v>6</v>
      </c>
      <c r="R25" s="12">
        <v>2</v>
      </c>
      <c r="S25" s="12">
        <v>9</v>
      </c>
      <c r="T25" s="12">
        <v>4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f t="shared" ca="1" si="0"/>
        <v>72</v>
      </c>
      <c r="AC25" s="12">
        <f>[1]!Table1[[#This Row],[Kidhome]]+[1]!Table1[[#This Row],[Teenhome]]</f>
        <v>1</v>
      </c>
      <c r="AD25" s="12">
        <f t="shared" si="1"/>
        <v>544</v>
      </c>
      <c r="AE25" s="12">
        <f t="shared" si="2"/>
        <v>11</v>
      </c>
      <c r="AF25" s="15">
        <f t="shared" si="3"/>
        <v>11</v>
      </c>
    </row>
    <row r="26" spans="1:32" x14ac:dyDescent="0.3">
      <c r="A26" s="6">
        <v>1409</v>
      </c>
      <c r="B26" s="7">
        <v>1951</v>
      </c>
      <c r="C26" s="7" t="s">
        <v>32</v>
      </c>
      <c r="D26" s="7" t="s">
        <v>34</v>
      </c>
      <c r="E26" s="8">
        <v>40689</v>
      </c>
      <c r="F26" s="7">
        <v>0</v>
      </c>
      <c r="G26" s="7">
        <v>1</v>
      </c>
      <c r="H26" s="9">
        <v>41351</v>
      </c>
      <c r="I26" s="7">
        <v>69</v>
      </c>
      <c r="J26" s="7">
        <v>270</v>
      </c>
      <c r="K26" s="7">
        <v>3</v>
      </c>
      <c r="L26" s="7">
        <v>27</v>
      </c>
      <c r="M26" s="7">
        <v>39</v>
      </c>
      <c r="N26" s="7">
        <v>6</v>
      </c>
      <c r="O26" s="7">
        <v>99</v>
      </c>
      <c r="P26" s="7">
        <v>7</v>
      </c>
      <c r="Q26" s="7">
        <v>7</v>
      </c>
      <c r="R26" s="7">
        <v>1</v>
      </c>
      <c r="S26" s="7">
        <v>5</v>
      </c>
      <c r="T26" s="7">
        <v>8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f t="shared" ca="1" si="0"/>
        <v>75</v>
      </c>
      <c r="AC26" s="7">
        <f>[1]!Table1[[#This Row],[Kidhome]]+[1]!Table1[[#This Row],[Teenhome]]</f>
        <v>1</v>
      </c>
      <c r="AD26" s="7">
        <f t="shared" si="1"/>
        <v>444</v>
      </c>
      <c r="AE26" s="7">
        <f t="shared" si="2"/>
        <v>15</v>
      </c>
      <c r="AF26" s="10">
        <f t="shared" si="3"/>
        <v>15</v>
      </c>
    </row>
    <row r="27" spans="1:32" x14ac:dyDescent="0.3">
      <c r="A27" s="11">
        <v>7892</v>
      </c>
      <c r="B27" s="12">
        <v>1969</v>
      </c>
      <c r="C27" s="12" t="s">
        <v>32</v>
      </c>
      <c r="D27" s="12" t="s">
        <v>33</v>
      </c>
      <c r="E27" s="13">
        <v>18589</v>
      </c>
      <c r="F27" s="12">
        <v>0</v>
      </c>
      <c r="G27" s="12">
        <v>0</v>
      </c>
      <c r="H27" s="14">
        <v>41276</v>
      </c>
      <c r="I27" s="12">
        <v>89</v>
      </c>
      <c r="J27" s="12">
        <v>6</v>
      </c>
      <c r="K27" s="12">
        <v>4</v>
      </c>
      <c r="L27" s="12">
        <v>25</v>
      </c>
      <c r="M27" s="12">
        <v>15</v>
      </c>
      <c r="N27" s="12">
        <v>12</v>
      </c>
      <c r="O27" s="12">
        <v>13</v>
      </c>
      <c r="P27" s="12">
        <v>2</v>
      </c>
      <c r="Q27" s="12">
        <v>2</v>
      </c>
      <c r="R27" s="12">
        <v>1</v>
      </c>
      <c r="S27" s="12">
        <v>3</v>
      </c>
      <c r="T27" s="12">
        <v>7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f t="shared" ca="1" si="0"/>
        <v>57</v>
      </c>
      <c r="AC27" s="12">
        <f>[1]!Table1[[#This Row],[Kidhome]]+[1]!Table1[[#This Row],[Teenhome]]</f>
        <v>0</v>
      </c>
      <c r="AD27" s="12">
        <f t="shared" si="1"/>
        <v>75</v>
      </c>
      <c r="AE27" s="12">
        <f t="shared" si="2"/>
        <v>5</v>
      </c>
      <c r="AF27" s="15">
        <f t="shared" si="3"/>
        <v>5</v>
      </c>
    </row>
    <row r="28" spans="1:32" x14ac:dyDescent="0.3">
      <c r="A28" s="6">
        <v>2404</v>
      </c>
      <c r="B28" s="7">
        <v>1976</v>
      </c>
      <c r="C28" s="7" t="s">
        <v>32</v>
      </c>
      <c r="D28" s="7" t="s">
        <v>36</v>
      </c>
      <c r="E28" s="8">
        <v>53359</v>
      </c>
      <c r="F28" s="7">
        <v>1</v>
      </c>
      <c r="G28" s="7">
        <v>1</v>
      </c>
      <c r="H28" s="9">
        <v>41421</v>
      </c>
      <c r="I28" s="7">
        <v>4</v>
      </c>
      <c r="J28" s="7">
        <v>173</v>
      </c>
      <c r="K28" s="7">
        <v>4</v>
      </c>
      <c r="L28" s="7">
        <v>30</v>
      </c>
      <c r="M28" s="7">
        <v>3</v>
      </c>
      <c r="N28" s="7">
        <v>6</v>
      </c>
      <c r="O28" s="7">
        <v>41</v>
      </c>
      <c r="P28" s="7">
        <v>4</v>
      </c>
      <c r="Q28" s="7">
        <v>5</v>
      </c>
      <c r="R28" s="7">
        <v>1</v>
      </c>
      <c r="S28" s="7">
        <v>4</v>
      </c>
      <c r="T28" s="7">
        <v>7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f t="shared" ca="1" si="0"/>
        <v>50</v>
      </c>
      <c r="AC28" s="7">
        <f>[1]!Table1[[#This Row],[Kidhome]]+[1]!Table1[[#This Row],[Teenhome]]</f>
        <v>2</v>
      </c>
      <c r="AD28" s="7">
        <f t="shared" si="1"/>
        <v>257</v>
      </c>
      <c r="AE28" s="7">
        <f t="shared" si="2"/>
        <v>10</v>
      </c>
      <c r="AF28" s="10">
        <f t="shared" si="3"/>
        <v>10</v>
      </c>
    </row>
    <row r="29" spans="1:32" x14ac:dyDescent="0.3">
      <c r="A29" s="11">
        <v>5255</v>
      </c>
      <c r="B29" s="12">
        <v>1986</v>
      </c>
      <c r="C29" s="12" t="s">
        <v>32</v>
      </c>
      <c r="D29" s="12" t="s">
        <v>33</v>
      </c>
      <c r="E29" s="13">
        <v>58138</v>
      </c>
      <c r="F29" s="12">
        <v>1</v>
      </c>
      <c r="G29" s="12">
        <v>0</v>
      </c>
      <c r="H29" s="14">
        <v>41325</v>
      </c>
      <c r="I29" s="12">
        <v>19</v>
      </c>
      <c r="J29" s="12">
        <v>5</v>
      </c>
      <c r="K29" s="12">
        <v>1</v>
      </c>
      <c r="L29" s="12">
        <v>3</v>
      </c>
      <c r="M29" s="12">
        <v>3</v>
      </c>
      <c r="N29" s="12">
        <v>263</v>
      </c>
      <c r="O29" s="12">
        <v>362</v>
      </c>
      <c r="P29" s="12">
        <v>0</v>
      </c>
      <c r="Q29" s="12">
        <v>27</v>
      </c>
      <c r="R29" s="12">
        <v>0</v>
      </c>
      <c r="S29" s="12">
        <v>0</v>
      </c>
      <c r="T29" s="12">
        <v>1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f t="shared" ca="1" si="0"/>
        <v>40</v>
      </c>
      <c r="AC29" s="12">
        <f>[1]!Table1[[#This Row],[Kidhome]]+[1]!Table1[[#This Row],[Teenhome]]</f>
        <v>1</v>
      </c>
      <c r="AD29" s="12">
        <f t="shared" si="1"/>
        <v>637</v>
      </c>
      <c r="AE29" s="12">
        <f t="shared" si="2"/>
        <v>27</v>
      </c>
      <c r="AF29" s="15">
        <f t="shared" si="3"/>
        <v>27</v>
      </c>
    </row>
    <row r="30" spans="1:32" x14ac:dyDescent="0.3">
      <c r="A30" s="6">
        <v>9422</v>
      </c>
      <c r="B30" s="7">
        <v>1989</v>
      </c>
      <c r="C30" s="7" t="s">
        <v>32</v>
      </c>
      <c r="D30" s="7" t="s">
        <v>36</v>
      </c>
      <c r="E30" s="8">
        <v>38360</v>
      </c>
      <c r="F30" s="7">
        <v>1</v>
      </c>
      <c r="G30" s="7">
        <v>0</v>
      </c>
      <c r="H30" s="9">
        <v>41425</v>
      </c>
      <c r="I30" s="7">
        <v>26</v>
      </c>
      <c r="J30" s="7">
        <v>36</v>
      </c>
      <c r="K30" s="7">
        <v>2</v>
      </c>
      <c r="L30" s="7">
        <v>42</v>
      </c>
      <c r="M30" s="7">
        <v>20</v>
      </c>
      <c r="N30" s="7">
        <v>21</v>
      </c>
      <c r="O30" s="7">
        <v>10</v>
      </c>
      <c r="P30" s="7">
        <v>2</v>
      </c>
      <c r="Q30" s="7">
        <v>2</v>
      </c>
      <c r="R30" s="7">
        <v>1</v>
      </c>
      <c r="S30" s="7">
        <v>4</v>
      </c>
      <c r="T30" s="7">
        <v>3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f t="shared" ca="1" si="0"/>
        <v>37</v>
      </c>
      <c r="AC30" s="7">
        <f>[1]!Table1[[#This Row],[Kidhome]]+[1]!Table1[[#This Row],[Teenhome]]</f>
        <v>1</v>
      </c>
      <c r="AD30" s="7">
        <f t="shared" si="1"/>
        <v>131</v>
      </c>
      <c r="AE30" s="7">
        <f t="shared" si="2"/>
        <v>5</v>
      </c>
      <c r="AF30" s="10">
        <f t="shared" si="3"/>
        <v>5</v>
      </c>
    </row>
    <row r="31" spans="1:32" x14ac:dyDescent="0.3">
      <c r="A31" s="11">
        <v>1966</v>
      </c>
      <c r="B31" s="12">
        <v>1965</v>
      </c>
      <c r="C31" s="12" t="s">
        <v>35</v>
      </c>
      <c r="D31" s="12" t="s">
        <v>36</v>
      </c>
      <c r="E31" s="13">
        <v>84618</v>
      </c>
      <c r="F31" s="12">
        <v>0</v>
      </c>
      <c r="G31" s="12">
        <v>0</v>
      </c>
      <c r="H31" s="14">
        <v>41600</v>
      </c>
      <c r="I31" s="12">
        <v>96</v>
      </c>
      <c r="J31" s="12">
        <v>684</v>
      </c>
      <c r="K31" s="12">
        <v>100</v>
      </c>
      <c r="L31" s="12">
        <v>801</v>
      </c>
      <c r="M31" s="12">
        <v>21</v>
      </c>
      <c r="N31" s="12">
        <v>66</v>
      </c>
      <c r="O31" s="12">
        <v>0</v>
      </c>
      <c r="P31" s="12">
        <v>1</v>
      </c>
      <c r="Q31" s="12">
        <v>6</v>
      </c>
      <c r="R31" s="12">
        <v>9</v>
      </c>
      <c r="S31" s="12">
        <v>10</v>
      </c>
      <c r="T31" s="12">
        <v>2</v>
      </c>
      <c r="U31" s="12">
        <v>0</v>
      </c>
      <c r="V31" s="12">
        <v>0</v>
      </c>
      <c r="W31" s="12">
        <v>1</v>
      </c>
      <c r="X31" s="12">
        <v>0</v>
      </c>
      <c r="Y31" s="12">
        <v>0</v>
      </c>
      <c r="Z31" s="12">
        <v>0</v>
      </c>
      <c r="AA31" s="12">
        <v>0</v>
      </c>
      <c r="AB31" s="12">
        <f t="shared" ca="1" si="0"/>
        <v>61</v>
      </c>
      <c r="AC31" s="12">
        <f>[1]!Table1[[#This Row],[Kidhome]]+[1]!Table1[[#This Row],[Teenhome]]</f>
        <v>0</v>
      </c>
      <c r="AD31" s="12">
        <f t="shared" si="1"/>
        <v>1672</v>
      </c>
      <c r="AE31" s="12">
        <f t="shared" si="2"/>
        <v>16</v>
      </c>
      <c r="AF31" s="15">
        <f t="shared" si="3"/>
        <v>16</v>
      </c>
    </row>
    <row r="32" spans="1:32" x14ac:dyDescent="0.3">
      <c r="A32" s="6">
        <v>6864</v>
      </c>
      <c r="B32" s="7">
        <v>1989</v>
      </c>
      <c r="C32" s="7" t="s">
        <v>37</v>
      </c>
      <c r="D32" s="7" t="s">
        <v>38</v>
      </c>
      <c r="E32" s="8">
        <v>10979</v>
      </c>
      <c r="F32" s="7">
        <v>0</v>
      </c>
      <c r="G32" s="7">
        <v>0</v>
      </c>
      <c r="H32" s="9">
        <v>41781</v>
      </c>
      <c r="I32" s="7">
        <v>34</v>
      </c>
      <c r="J32" s="7">
        <v>8</v>
      </c>
      <c r="K32" s="7">
        <v>4</v>
      </c>
      <c r="L32" s="7">
        <v>10</v>
      </c>
      <c r="M32" s="7">
        <v>2</v>
      </c>
      <c r="N32" s="7">
        <v>2</v>
      </c>
      <c r="O32" s="7">
        <v>4</v>
      </c>
      <c r="P32" s="7">
        <v>2</v>
      </c>
      <c r="Q32" s="7">
        <v>3</v>
      </c>
      <c r="R32" s="7">
        <v>0</v>
      </c>
      <c r="S32" s="7">
        <v>3</v>
      </c>
      <c r="T32" s="7">
        <v>5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f t="shared" ca="1" si="0"/>
        <v>37</v>
      </c>
      <c r="AC32" s="7">
        <f>[1]!Table1[[#This Row],[Kidhome]]+[1]!Table1[[#This Row],[Teenhome]]</f>
        <v>0</v>
      </c>
      <c r="AD32" s="7">
        <f t="shared" si="1"/>
        <v>30</v>
      </c>
      <c r="AE32" s="7">
        <f t="shared" si="2"/>
        <v>5</v>
      </c>
      <c r="AF32" s="10">
        <f t="shared" si="3"/>
        <v>5</v>
      </c>
    </row>
    <row r="33" spans="1:32" x14ac:dyDescent="0.3">
      <c r="A33" s="11">
        <v>3033</v>
      </c>
      <c r="B33" s="12">
        <v>1963</v>
      </c>
      <c r="C33" s="12" t="s">
        <v>37</v>
      </c>
      <c r="D33" s="12" t="s">
        <v>34</v>
      </c>
      <c r="E33" s="13">
        <v>38620</v>
      </c>
      <c r="F33" s="12">
        <v>0</v>
      </c>
      <c r="G33" s="12">
        <v>0</v>
      </c>
      <c r="H33" s="14">
        <v>41405</v>
      </c>
      <c r="I33" s="12">
        <v>56</v>
      </c>
      <c r="J33" s="12">
        <v>112</v>
      </c>
      <c r="K33" s="12">
        <v>17</v>
      </c>
      <c r="L33" s="12">
        <v>44</v>
      </c>
      <c r="M33" s="12">
        <v>34</v>
      </c>
      <c r="N33" s="12">
        <v>22</v>
      </c>
      <c r="O33" s="12">
        <v>89</v>
      </c>
      <c r="P33" s="12">
        <v>1</v>
      </c>
      <c r="Q33" s="12">
        <v>2</v>
      </c>
      <c r="R33" s="12">
        <v>5</v>
      </c>
      <c r="S33" s="12">
        <v>3</v>
      </c>
      <c r="T33" s="12">
        <v>3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f t="shared" ca="1" si="0"/>
        <v>63</v>
      </c>
      <c r="AC33" s="12">
        <f>[1]!Table1[[#This Row],[Kidhome]]+[1]!Table1[[#This Row],[Teenhome]]</f>
        <v>0</v>
      </c>
      <c r="AD33" s="12">
        <f t="shared" si="1"/>
        <v>318</v>
      </c>
      <c r="AE33" s="12">
        <f t="shared" si="2"/>
        <v>8</v>
      </c>
      <c r="AF33" s="15">
        <f t="shared" si="3"/>
        <v>8</v>
      </c>
    </row>
    <row r="34" spans="1:32" x14ac:dyDescent="0.3">
      <c r="A34" s="6">
        <v>5710</v>
      </c>
      <c r="B34" s="7">
        <v>1970</v>
      </c>
      <c r="C34" s="7" t="s">
        <v>32</v>
      </c>
      <c r="D34" s="7" t="s">
        <v>34</v>
      </c>
      <c r="E34" s="8">
        <v>40548</v>
      </c>
      <c r="F34" s="7">
        <v>0</v>
      </c>
      <c r="G34" s="7">
        <v>1</v>
      </c>
      <c r="H34" s="9">
        <v>41192</v>
      </c>
      <c r="I34" s="7">
        <v>31</v>
      </c>
      <c r="J34" s="7">
        <v>110</v>
      </c>
      <c r="K34" s="7">
        <v>0</v>
      </c>
      <c r="L34" s="7">
        <v>5</v>
      </c>
      <c r="M34" s="7">
        <v>2</v>
      </c>
      <c r="N34" s="7">
        <v>0</v>
      </c>
      <c r="O34" s="7">
        <v>3</v>
      </c>
      <c r="P34" s="7">
        <v>2</v>
      </c>
      <c r="Q34" s="7">
        <v>2</v>
      </c>
      <c r="R34" s="7">
        <v>1</v>
      </c>
      <c r="S34" s="7">
        <v>4</v>
      </c>
      <c r="T34" s="7">
        <v>5</v>
      </c>
      <c r="U34" s="7">
        <v>0</v>
      </c>
      <c r="V34" s="7">
        <v>1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f t="shared" ca="1" si="0"/>
        <v>56</v>
      </c>
      <c r="AC34" s="7">
        <f>[1]!Table1[[#This Row],[Kidhome]]+[1]!Table1[[#This Row],[Teenhome]]</f>
        <v>1</v>
      </c>
      <c r="AD34" s="7">
        <f t="shared" si="1"/>
        <v>120</v>
      </c>
      <c r="AE34" s="7">
        <f t="shared" si="2"/>
        <v>5</v>
      </c>
      <c r="AF34" s="10">
        <f t="shared" si="3"/>
        <v>5</v>
      </c>
    </row>
    <row r="35" spans="1:32" x14ac:dyDescent="0.3">
      <c r="A35" s="11">
        <v>7373</v>
      </c>
      <c r="B35" s="12">
        <v>1952</v>
      </c>
      <c r="C35" s="12" t="s">
        <v>35</v>
      </c>
      <c r="D35" s="12" t="s">
        <v>38</v>
      </c>
      <c r="E35" s="13">
        <v>46610</v>
      </c>
      <c r="F35" s="12">
        <v>0</v>
      </c>
      <c r="G35" s="12">
        <v>2</v>
      </c>
      <c r="H35" s="14">
        <v>41211</v>
      </c>
      <c r="I35" s="12">
        <v>8</v>
      </c>
      <c r="J35" s="12">
        <v>96</v>
      </c>
      <c r="K35" s="12">
        <v>12</v>
      </c>
      <c r="L35" s="12">
        <v>96</v>
      </c>
      <c r="M35" s="12">
        <v>33</v>
      </c>
      <c r="N35" s="12">
        <v>22</v>
      </c>
      <c r="O35" s="12">
        <v>43</v>
      </c>
      <c r="P35" s="12">
        <v>6</v>
      </c>
      <c r="Q35" s="12">
        <v>4</v>
      </c>
      <c r="R35" s="12">
        <v>1</v>
      </c>
      <c r="S35" s="12">
        <v>6</v>
      </c>
      <c r="T35" s="12">
        <v>6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1</v>
      </c>
      <c r="AB35" s="12">
        <f t="shared" ca="1" si="0"/>
        <v>74</v>
      </c>
      <c r="AC35" s="12">
        <f>[1]!Table1[[#This Row],[Kidhome]]+[1]!Table1[[#This Row],[Teenhome]]</f>
        <v>2</v>
      </c>
      <c r="AD35" s="12">
        <f t="shared" si="1"/>
        <v>302</v>
      </c>
      <c r="AE35" s="12">
        <f t="shared" si="2"/>
        <v>11</v>
      </c>
      <c r="AF35" s="15">
        <f t="shared" si="3"/>
        <v>11</v>
      </c>
    </row>
    <row r="36" spans="1:32" x14ac:dyDescent="0.3">
      <c r="A36" s="6">
        <v>8755</v>
      </c>
      <c r="B36" s="7">
        <v>1946</v>
      </c>
      <c r="C36" s="7" t="s">
        <v>37</v>
      </c>
      <c r="D36" s="7" t="s">
        <v>36</v>
      </c>
      <c r="E36" s="8">
        <v>68657</v>
      </c>
      <c r="F36" s="7">
        <v>0</v>
      </c>
      <c r="G36" s="7">
        <v>0</v>
      </c>
      <c r="H36" s="9">
        <v>41325</v>
      </c>
      <c r="I36" s="7">
        <v>4</v>
      </c>
      <c r="J36" s="7">
        <v>482</v>
      </c>
      <c r="K36" s="7">
        <v>34</v>
      </c>
      <c r="L36" s="7">
        <v>471</v>
      </c>
      <c r="M36" s="7">
        <v>119</v>
      </c>
      <c r="N36" s="7">
        <v>68</v>
      </c>
      <c r="O36" s="7">
        <v>22</v>
      </c>
      <c r="P36" s="7">
        <v>1</v>
      </c>
      <c r="Q36" s="7">
        <v>3</v>
      </c>
      <c r="R36" s="7">
        <v>5</v>
      </c>
      <c r="S36" s="7">
        <v>9</v>
      </c>
      <c r="T36" s="7">
        <v>7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f t="shared" ca="1" si="0"/>
        <v>80</v>
      </c>
      <c r="AC36" s="7">
        <f>[1]!Table1[[#This Row],[Kidhome]]+[1]!Table1[[#This Row],[Teenhome]]</f>
        <v>0</v>
      </c>
      <c r="AD36" s="7">
        <f t="shared" si="1"/>
        <v>1196</v>
      </c>
      <c r="AE36" s="7">
        <f t="shared" si="2"/>
        <v>9</v>
      </c>
      <c r="AF36" s="10">
        <f t="shared" si="3"/>
        <v>9</v>
      </c>
    </row>
    <row r="37" spans="1:32" x14ac:dyDescent="0.3">
      <c r="A37" s="11">
        <v>10738</v>
      </c>
      <c r="B37" s="12">
        <v>1951</v>
      </c>
      <c r="C37" s="12" t="s">
        <v>37</v>
      </c>
      <c r="D37" s="12" t="s">
        <v>33</v>
      </c>
      <c r="E37" s="13">
        <v>49389</v>
      </c>
      <c r="F37" s="12">
        <v>1</v>
      </c>
      <c r="G37" s="12">
        <v>1</v>
      </c>
      <c r="H37" s="14">
        <v>41515</v>
      </c>
      <c r="I37" s="12">
        <v>55</v>
      </c>
      <c r="J37" s="12">
        <v>40</v>
      </c>
      <c r="K37" s="12">
        <v>0</v>
      </c>
      <c r="L37" s="12">
        <v>19</v>
      </c>
      <c r="M37" s="12">
        <v>2</v>
      </c>
      <c r="N37" s="12">
        <v>1</v>
      </c>
      <c r="O37" s="12">
        <v>3</v>
      </c>
      <c r="P37" s="12">
        <v>1</v>
      </c>
      <c r="Q37" s="12">
        <v>2</v>
      </c>
      <c r="R37" s="12">
        <v>0</v>
      </c>
      <c r="S37" s="12">
        <v>3</v>
      </c>
      <c r="T37" s="12">
        <v>7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f t="shared" ca="1" si="0"/>
        <v>75</v>
      </c>
      <c r="AC37" s="12">
        <f>[1]!Table1[[#This Row],[Kidhome]]+[1]!Table1[[#This Row],[Teenhome]]</f>
        <v>2</v>
      </c>
      <c r="AD37" s="12">
        <f t="shared" si="1"/>
        <v>65</v>
      </c>
      <c r="AE37" s="12">
        <f t="shared" si="2"/>
        <v>3</v>
      </c>
      <c r="AF37" s="15">
        <f t="shared" si="3"/>
        <v>3</v>
      </c>
    </row>
    <row r="38" spans="1:32" x14ac:dyDescent="0.3">
      <c r="A38" s="6">
        <v>4339</v>
      </c>
      <c r="B38" s="7">
        <v>1970</v>
      </c>
      <c r="C38" s="7" t="s">
        <v>35</v>
      </c>
      <c r="D38" s="7" t="s">
        <v>36</v>
      </c>
      <c r="E38" s="8">
        <v>67353</v>
      </c>
      <c r="F38" s="7">
        <v>0</v>
      </c>
      <c r="G38" s="7">
        <v>1</v>
      </c>
      <c r="H38" s="9">
        <v>41639</v>
      </c>
      <c r="I38" s="7">
        <v>37</v>
      </c>
      <c r="J38" s="7">
        <v>702</v>
      </c>
      <c r="K38" s="7">
        <v>17</v>
      </c>
      <c r="L38" s="7">
        <v>151</v>
      </c>
      <c r="M38" s="7">
        <v>0</v>
      </c>
      <c r="N38" s="7">
        <v>8</v>
      </c>
      <c r="O38" s="7">
        <v>35</v>
      </c>
      <c r="P38" s="7">
        <v>5</v>
      </c>
      <c r="Q38" s="7">
        <v>5</v>
      </c>
      <c r="R38" s="7">
        <v>6</v>
      </c>
      <c r="S38" s="7">
        <v>12</v>
      </c>
      <c r="T38" s="7">
        <v>2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f t="shared" ca="1" si="0"/>
        <v>56</v>
      </c>
      <c r="AC38" s="7">
        <f>[1]!Table1[[#This Row],[Kidhome]]+[1]!Table1[[#This Row],[Teenhome]]</f>
        <v>1</v>
      </c>
      <c r="AD38" s="7">
        <f t="shared" si="1"/>
        <v>913</v>
      </c>
      <c r="AE38" s="7">
        <f t="shared" si="2"/>
        <v>16</v>
      </c>
      <c r="AF38" s="10">
        <f t="shared" si="3"/>
        <v>16</v>
      </c>
    </row>
    <row r="39" spans="1:32" x14ac:dyDescent="0.3">
      <c r="A39" s="11">
        <v>10755</v>
      </c>
      <c r="B39" s="12">
        <v>1976</v>
      </c>
      <c r="C39" s="12" t="s">
        <v>40</v>
      </c>
      <c r="D39" s="12" t="s">
        <v>36</v>
      </c>
      <c r="E39" s="13">
        <v>23718</v>
      </c>
      <c r="F39" s="12">
        <v>1</v>
      </c>
      <c r="G39" s="12">
        <v>0</v>
      </c>
      <c r="H39" s="14">
        <v>41519</v>
      </c>
      <c r="I39" s="12">
        <v>76</v>
      </c>
      <c r="J39" s="12">
        <v>6</v>
      </c>
      <c r="K39" s="12">
        <v>3</v>
      </c>
      <c r="L39" s="12">
        <v>14</v>
      </c>
      <c r="M39" s="12">
        <v>15</v>
      </c>
      <c r="N39" s="12">
        <v>7</v>
      </c>
      <c r="O39" s="12">
        <v>36</v>
      </c>
      <c r="P39" s="12">
        <v>3</v>
      </c>
      <c r="Q39" s="12">
        <v>3</v>
      </c>
      <c r="R39" s="12">
        <v>1</v>
      </c>
      <c r="S39" s="12">
        <v>2</v>
      </c>
      <c r="T39" s="12">
        <v>7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f t="shared" ca="1" si="0"/>
        <v>50</v>
      </c>
      <c r="AC39" s="12">
        <f>[1]!Table1[[#This Row],[Kidhome]]+[1]!Table1[[#This Row],[Teenhome]]</f>
        <v>1</v>
      </c>
      <c r="AD39" s="12">
        <f t="shared" si="1"/>
        <v>81</v>
      </c>
      <c r="AE39" s="12">
        <f t="shared" si="2"/>
        <v>7</v>
      </c>
      <c r="AF39" s="15">
        <f t="shared" si="3"/>
        <v>7</v>
      </c>
    </row>
    <row r="40" spans="1:32" x14ac:dyDescent="0.3">
      <c r="A40" s="6">
        <v>8595</v>
      </c>
      <c r="B40" s="7">
        <v>1973</v>
      </c>
      <c r="C40" s="7" t="s">
        <v>32</v>
      </c>
      <c r="D40" s="7" t="s">
        <v>41</v>
      </c>
      <c r="E40" s="8">
        <v>42429</v>
      </c>
      <c r="F40" s="7">
        <v>0</v>
      </c>
      <c r="G40" s="7">
        <v>1</v>
      </c>
      <c r="H40" s="9">
        <v>41681</v>
      </c>
      <c r="I40" s="7">
        <v>99</v>
      </c>
      <c r="J40" s="7">
        <v>55</v>
      </c>
      <c r="K40" s="7">
        <v>0</v>
      </c>
      <c r="L40" s="7">
        <v>6</v>
      </c>
      <c r="M40" s="7">
        <v>2</v>
      </c>
      <c r="N40" s="7">
        <v>0</v>
      </c>
      <c r="O40" s="7">
        <v>4</v>
      </c>
      <c r="P40" s="7">
        <v>2</v>
      </c>
      <c r="Q40" s="7">
        <v>1</v>
      </c>
      <c r="R40" s="7">
        <v>1</v>
      </c>
      <c r="S40" s="7">
        <v>3</v>
      </c>
      <c r="T40" s="7">
        <v>5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f t="shared" ca="1" si="0"/>
        <v>53</v>
      </c>
      <c r="AC40" s="7">
        <f>[1]!Table1[[#This Row],[Kidhome]]+[1]!Table1[[#This Row],[Teenhome]]</f>
        <v>1</v>
      </c>
      <c r="AD40" s="7">
        <f t="shared" si="1"/>
        <v>67</v>
      </c>
      <c r="AE40" s="7">
        <f t="shared" si="2"/>
        <v>4</v>
      </c>
      <c r="AF40" s="10">
        <f t="shared" si="3"/>
        <v>4</v>
      </c>
    </row>
    <row r="41" spans="1:32" x14ac:dyDescent="0.3">
      <c r="A41" s="11">
        <v>2968</v>
      </c>
      <c r="B41" s="12">
        <v>1943</v>
      </c>
      <c r="C41" s="12" t="s">
        <v>35</v>
      </c>
      <c r="D41" s="12" t="s">
        <v>38</v>
      </c>
      <c r="E41" s="13">
        <v>48948</v>
      </c>
      <c r="F41" s="12">
        <v>0</v>
      </c>
      <c r="G41" s="12">
        <v>0</v>
      </c>
      <c r="H41" s="14">
        <v>41306</v>
      </c>
      <c r="I41" s="12">
        <v>53</v>
      </c>
      <c r="J41" s="12">
        <v>437</v>
      </c>
      <c r="K41" s="12">
        <v>8</v>
      </c>
      <c r="L41" s="12">
        <v>206</v>
      </c>
      <c r="M41" s="12">
        <v>160</v>
      </c>
      <c r="N41" s="12">
        <v>49</v>
      </c>
      <c r="O41" s="12">
        <v>42</v>
      </c>
      <c r="P41" s="12">
        <v>2</v>
      </c>
      <c r="Q41" s="12">
        <v>7</v>
      </c>
      <c r="R41" s="12">
        <v>10</v>
      </c>
      <c r="S41" s="12">
        <v>5</v>
      </c>
      <c r="T41" s="12">
        <v>6</v>
      </c>
      <c r="U41" s="12">
        <v>1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1</v>
      </c>
      <c r="AB41" s="12">
        <f t="shared" ca="1" si="0"/>
        <v>83</v>
      </c>
      <c r="AC41" s="12">
        <f>[1]!Table1[[#This Row],[Kidhome]]+[1]!Table1[[#This Row],[Teenhome]]</f>
        <v>0</v>
      </c>
      <c r="AD41" s="12">
        <f t="shared" si="1"/>
        <v>902</v>
      </c>
      <c r="AE41" s="12">
        <f t="shared" si="2"/>
        <v>19</v>
      </c>
      <c r="AF41" s="15">
        <f t="shared" si="3"/>
        <v>19</v>
      </c>
    </row>
    <row r="42" spans="1:32" x14ac:dyDescent="0.3">
      <c r="A42" s="6">
        <v>8601</v>
      </c>
      <c r="B42" s="7">
        <v>1980</v>
      </c>
      <c r="C42" s="7" t="s">
        <v>32</v>
      </c>
      <c r="D42" s="7" t="s">
        <v>36</v>
      </c>
      <c r="E42" s="8">
        <v>80011</v>
      </c>
      <c r="F42" s="7">
        <v>0</v>
      </c>
      <c r="G42" s="7">
        <v>1</v>
      </c>
      <c r="H42" s="9">
        <v>41393</v>
      </c>
      <c r="I42" s="7">
        <v>3</v>
      </c>
      <c r="J42" s="7">
        <v>421</v>
      </c>
      <c r="K42" s="7">
        <v>76</v>
      </c>
      <c r="L42" s="7">
        <v>536</v>
      </c>
      <c r="M42" s="7">
        <v>82</v>
      </c>
      <c r="N42" s="7">
        <v>178</v>
      </c>
      <c r="O42" s="7">
        <v>102</v>
      </c>
      <c r="P42" s="7">
        <v>2</v>
      </c>
      <c r="Q42" s="7">
        <v>8</v>
      </c>
      <c r="R42" s="7">
        <v>6</v>
      </c>
      <c r="S42" s="7">
        <v>5</v>
      </c>
      <c r="T42" s="7">
        <v>4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f t="shared" ca="1" si="0"/>
        <v>46</v>
      </c>
      <c r="AC42" s="7">
        <f>[1]!Table1[[#This Row],[Kidhome]]+[1]!Table1[[#This Row],[Teenhome]]</f>
        <v>1</v>
      </c>
      <c r="AD42" s="7">
        <f t="shared" si="1"/>
        <v>1395</v>
      </c>
      <c r="AE42" s="7">
        <f t="shared" si="2"/>
        <v>16</v>
      </c>
      <c r="AF42" s="10">
        <f t="shared" si="3"/>
        <v>16</v>
      </c>
    </row>
    <row r="43" spans="1:32" x14ac:dyDescent="0.3">
      <c r="A43" s="11">
        <v>503</v>
      </c>
      <c r="B43" s="12">
        <v>1985</v>
      </c>
      <c r="C43" s="12" t="s">
        <v>37</v>
      </c>
      <c r="D43" s="12" t="s">
        <v>36</v>
      </c>
      <c r="E43" s="13">
        <v>20559</v>
      </c>
      <c r="F43" s="12">
        <v>1</v>
      </c>
      <c r="G43" s="12">
        <v>0</v>
      </c>
      <c r="H43" s="14">
        <v>41345</v>
      </c>
      <c r="I43" s="12">
        <v>88</v>
      </c>
      <c r="J43" s="12">
        <v>13</v>
      </c>
      <c r="K43" s="12">
        <v>1</v>
      </c>
      <c r="L43" s="12">
        <v>29</v>
      </c>
      <c r="M43" s="12">
        <v>3</v>
      </c>
      <c r="N43" s="12">
        <v>0</v>
      </c>
      <c r="O43" s="12">
        <v>7</v>
      </c>
      <c r="P43" s="12">
        <v>2</v>
      </c>
      <c r="Q43" s="12">
        <v>2</v>
      </c>
      <c r="R43" s="12">
        <v>0</v>
      </c>
      <c r="S43" s="12">
        <v>3</v>
      </c>
      <c r="T43" s="12">
        <v>8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f t="shared" ca="1" si="0"/>
        <v>41</v>
      </c>
      <c r="AC43" s="12">
        <f>[1]!Table1[[#This Row],[Kidhome]]+[1]!Table1[[#This Row],[Teenhome]]</f>
        <v>1</v>
      </c>
      <c r="AD43" s="12">
        <f t="shared" si="1"/>
        <v>53</v>
      </c>
      <c r="AE43" s="12">
        <f t="shared" si="2"/>
        <v>4</v>
      </c>
      <c r="AF43" s="15">
        <f t="shared" si="3"/>
        <v>4</v>
      </c>
    </row>
    <row r="44" spans="1:32" x14ac:dyDescent="0.3">
      <c r="A44" s="6">
        <v>8430</v>
      </c>
      <c r="B44" s="7">
        <v>1957</v>
      </c>
      <c r="C44" s="7" t="s">
        <v>32</v>
      </c>
      <c r="D44" s="7" t="s">
        <v>34</v>
      </c>
      <c r="E44" s="8">
        <v>21994</v>
      </c>
      <c r="F44" s="7">
        <v>0</v>
      </c>
      <c r="G44" s="7">
        <v>1</v>
      </c>
      <c r="H44" s="9">
        <v>41267</v>
      </c>
      <c r="I44" s="7">
        <v>4</v>
      </c>
      <c r="J44" s="7">
        <v>9</v>
      </c>
      <c r="K44" s="7">
        <v>0</v>
      </c>
      <c r="L44" s="7">
        <v>6</v>
      </c>
      <c r="M44" s="7">
        <v>3</v>
      </c>
      <c r="N44" s="7">
        <v>1</v>
      </c>
      <c r="O44" s="7">
        <v>3</v>
      </c>
      <c r="P44" s="7">
        <v>1</v>
      </c>
      <c r="Q44" s="7">
        <v>0</v>
      </c>
      <c r="R44" s="7">
        <v>0</v>
      </c>
      <c r="S44" s="7">
        <v>3</v>
      </c>
      <c r="T44" s="7">
        <v>5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f t="shared" ca="1" si="0"/>
        <v>69</v>
      </c>
      <c r="AC44" s="7">
        <f>[1]!Table1[[#This Row],[Kidhome]]+[1]!Table1[[#This Row],[Teenhome]]</f>
        <v>1</v>
      </c>
      <c r="AD44" s="7">
        <f t="shared" si="1"/>
        <v>22</v>
      </c>
      <c r="AE44" s="7">
        <f t="shared" si="2"/>
        <v>1</v>
      </c>
      <c r="AF44" s="10">
        <f t="shared" si="3"/>
        <v>1</v>
      </c>
    </row>
    <row r="45" spans="1:32" x14ac:dyDescent="0.3">
      <c r="A45" s="11">
        <v>7281</v>
      </c>
      <c r="B45" s="12">
        <v>1959</v>
      </c>
      <c r="C45" s="12" t="s">
        <v>35</v>
      </c>
      <c r="D45" s="12" t="s">
        <v>33</v>
      </c>
      <c r="E45" s="13">
        <v>58138</v>
      </c>
      <c r="F45" s="12">
        <v>0</v>
      </c>
      <c r="G45" s="12">
        <v>0</v>
      </c>
      <c r="H45" s="14">
        <v>41583</v>
      </c>
      <c r="I45" s="12">
        <v>80</v>
      </c>
      <c r="J45" s="12">
        <v>81</v>
      </c>
      <c r="K45" s="12">
        <v>11</v>
      </c>
      <c r="L45" s="12">
        <v>50</v>
      </c>
      <c r="M45" s="12">
        <v>3</v>
      </c>
      <c r="N45" s="12">
        <v>2</v>
      </c>
      <c r="O45" s="12">
        <v>39</v>
      </c>
      <c r="P45" s="12">
        <v>1</v>
      </c>
      <c r="Q45" s="12">
        <v>1</v>
      </c>
      <c r="R45" s="12">
        <v>3</v>
      </c>
      <c r="S45" s="12">
        <v>4</v>
      </c>
      <c r="T45" s="12">
        <v>2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f t="shared" ca="1" si="0"/>
        <v>67</v>
      </c>
      <c r="AC45" s="12">
        <f>[1]!Table1[[#This Row],[Kidhome]]+[1]!Table1[[#This Row],[Teenhome]]</f>
        <v>0</v>
      </c>
      <c r="AD45" s="12">
        <f t="shared" si="1"/>
        <v>186</v>
      </c>
      <c r="AE45" s="12">
        <f t="shared" si="2"/>
        <v>5</v>
      </c>
      <c r="AF45" s="15">
        <f t="shared" si="3"/>
        <v>5</v>
      </c>
    </row>
    <row r="46" spans="1:32" x14ac:dyDescent="0.3">
      <c r="A46" s="6">
        <v>2139</v>
      </c>
      <c r="B46" s="7">
        <v>1975</v>
      </c>
      <c r="C46" s="7" t="s">
        <v>37</v>
      </c>
      <c r="D46" s="7" t="s">
        <v>36</v>
      </c>
      <c r="E46" s="8">
        <v>7500</v>
      </c>
      <c r="F46" s="7">
        <v>1</v>
      </c>
      <c r="G46" s="7">
        <v>0</v>
      </c>
      <c r="H46" s="9">
        <v>41549</v>
      </c>
      <c r="I46" s="7">
        <v>19</v>
      </c>
      <c r="J46" s="7">
        <v>3</v>
      </c>
      <c r="K46" s="7">
        <v>1</v>
      </c>
      <c r="L46" s="7">
        <v>10</v>
      </c>
      <c r="M46" s="7">
        <v>3</v>
      </c>
      <c r="N46" s="7">
        <v>2</v>
      </c>
      <c r="O46" s="7">
        <v>12</v>
      </c>
      <c r="P46" s="7">
        <v>3</v>
      </c>
      <c r="Q46" s="7">
        <v>2</v>
      </c>
      <c r="R46" s="7">
        <v>0</v>
      </c>
      <c r="S46" s="7">
        <v>3</v>
      </c>
      <c r="T46" s="7">
        <v>5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f t="shared" ca="1" si="0"/>
        <v>51</v>
      </c>
      <c r="AC46" s="7">
        <f>[1]!Table1[[#This Row],[Kidhome]]+[1]!Table1[[#This Row],[Teenhome]]</f>
        <v>1</v>
      </c>
      <c r="AD46" s="7">
        <f t="shared" si="1"/>
        <v>31</v>
      </c>
      <c r="AE46" s="7">
        <f t="shared" si="2"/>
        <v>5</v>
      </c>
      <c r="AF46" s="10">
        <f t="shared" si="3"/>
        <v>5</v>
      </c>
    </row>
    <row r="47" spans="1:32" x14ac:dyDescent="0.3">
      <c r="A47" s="11">
        <v>1371</v>
      </c>
      <c r="B47" s="12">
        <v>1976</v>
      </c>
      <c r="C47" s="12" t="s">
        <v>32</v>
      </c>
      <c r="D47" s="12" t="s">
        <v>33</v>
      </c>
      <c r="E47" s="13">
        <v>79941</v>
      </c>
      <c r="F47" s="12">
        <v>0</v>
      </c>
      <c r="G47" s="12">
        <v>0</v>
      </c>
      <c r="H47" s="14">
        <v>41818</v>
      </c>
      <c r="I47" s="12">
        <v>72</v>
      </c>
      <c r="J47" s="12">
        <v>123</v>
      </c>
      <c r="K47" s="12">
        <v>164</v>
      </c>
      <c r="L47" s="12">
        <v>266</v>
      </c>
      <c r="M47" s="12">
        <v>227</v>
      </c>
      <c r="N47" s="12">
        <v>30</v>
      </c>
      <c r="O47" s="12">
        <v>174</v>
      </c>
      <c r="P47" s="12">
        <v>1</v>
      </c>
      <c r="Q47" s="12">
        <v>2</v>
      </c>
      <c r="R47" s="12">
        <v>4</v>
      </c>
      <c r="S47" s="12">
        <v>9</v>
      </c>
      <c r="T47" s="12">
        <v>1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f t="shared" ca="1" si="0"/>
        <v>50</v>
      </c>
      <c r="AC47" s="12">
        <f>[1]!Table1[[#This Row],[Kidhome]]+[1]!Table1[[#This Row],[Teenhome]]</f>
        <v>0</v>
      </c>
      <c r="AD47" s="12">
        <f t="shared" si="1"/>
        <v>984</v>
      </c>
      <c r="AE47" s="12">
        <f t="shared" si="2"/>
        <v>7</v>
      </c>
      <c r="AF47" s="15">
        <f t="shared" si="3"/>
        <v>7</v>
      </c>
    </row>
    <row r="48" spans="1:32" x14ac:dyDescent="0.3">
      <c r="A48" s="6">
        <v>9909</v>
      </c>
      <c r="B48" s="7">
        <v>1996</v>
      </c>
      <c r="C48" s="7" t="s">
        <v>40</v>
      </c>
      <c r="D48" s="7" t="s">
        <v>36</v>
      </c>
      <c r="E48" s="8">
        <v>7500</v>
      </c>
      <c r="F48" s="7">
        <v>0</v>
      </c>
      <c r="G48" s="7">
        <v>0</v>
      </c>
      <c r="H48" s="9">
        <v>41222</v>
      </c>
      <c r="I48" s="7">
        <v>24</v>
      </c>
      <c r="J48" s="7">
        <v>3</v>
      </c>
      <c r="K48" s="7">
        <v>18</v>
      </c>
      <c r="L48" s="7">
        <v>14</v>
      </c>
      <c r="M48" s="7">
        <v>15</v>
      </c>
      <c r="N48" s="7">
        <v>22</v>
      </c>
      <c r="O48" s="7">
        <v>50</v>
      </c>
      <c r="P48" s="7">
        <v>3</v>
      </c>
      <c r="Q48" s="7">
        <v>3</v>
      </c>
      <c r="R48" s="7">
        <v>1</v>
      </c>
      <c r="S48" s="7">
        <v>3</v>
      </c>
      <c r="T48" s="7">
        <v>9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1</v>
      </c>
      <c r="AB48" s="7">
        <f t="shared" ca="1" si="0"/>
        <v>30</v>
      </c>
      <c r="AC48" s="7">
        <f>[1]!Table1[[#This Row],[Kidhome]]+[1]!Table1[[#This Row],[Teenhome]]</f>
        <v>0</v>
      </c>
      <c r="AD48" s="7">
        <f t="shared" si="1"/>
        <v>122</v>
      </c>
      <c r="AE48" s="7">
        <f t="shared" si="2"/>
        <v>7</v>
      </c>
      <c r="AF48" s="10">
        <f t="shared" si="3"/>
        <v>7</v>
      </c>
    </row>
    <row r="49" spans="1:32" x14ac:dyDescent="0.3">
      <c r="A49" s="11">
        <v>7286</v>
      </c>
      <c r="B49" s="12">
        <v>1968</v>
      </c>
      <c r="C49" s="12" t="s">
        <v>32</v>
      </c>
      <c r="D49" s="12" t="s">
        <v>34</v>
      </c>
      <c r="E49" s="13">
        <v>41728</v>
      </c>
      <c r="F49" s="12">
        <v>1</v>
      </c>
      <c r="G49" s="12">
        <v>0</v>
      </c>
      <c r="H49" s="14">
        <v>41418</v>
      </c>
      <c r="I49" s="12">
        <v>92</v>
      </c>
      <c r="J49" s="12">
        <v>13</v>
      </c>
      <c r="K49" s="12">
        <v>6</v>
      </c>
      <c r="L49" s="12">
        <v>15</v>
      </c>
      <c r="M49" s="12">
        <v>3</v>
      </c>
      <c r="N49" s="12">
        <v>5</v>
      </c>
      <c r="O49" s="12">
        <v>13</v>
      </c>
      <c r="P49" s="12">
        <v>1</v>
      </c>
      <c r="Q49" s="12">
        <v>2</v>
      </c>
      <c r="R49" s="12">
        <v>0</v>
      </c>
      <c r="S49" s="12">
        <v>2</v>
      </c>
      <c r="T49" s="12">
        <v>10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f t="shared" ca="1" si="0"/>
        <v>58</v>
      </c>
      <c r="AC49" s="12">
        <f>[1]!Table1[[#This Row],[Kidhome]]+[1]!Table1[[#This Row],[Teenhome]]</f>
        <v>1</v>
      </c>
      <c r="AD49" s="12">
        <f t="shared" si="1"/>
        <v>55</v>
      </c>
      <c r="AE49" s="12">
        <f t="shared" si="2"/>
        <v>3</v>
      </c>
      <c r="AF49" s="15">
        <f t="shared" si="3"/>
        <v>3</v>
      </c>
    </row>
    <row r="50" spans="1:32" x14ac:dyDescent="0.3">
      <c r="A50" s="6">
        <v>7244</v>
      </c>
      <c r="B50" s="7">
        <v>1951</v>
      </c>
      <c r="C50" s="7" t="s">
        <v>32</v>
      </c>
      <c r="D50" s="7" t="s">
        <v>33</v>
      </c>
      <c r="E50" s="8">
        <v>58138</v>
      </c>
      <c r="F50" s="7">
        <v>2</v>
      </c>
      <c r="G50" s="7">
        <v>1</v>
      </c>
      <c r="H50" s="9">
        <v>41640</v>
      </c>
      <c r="I50" s="7">
        <v>96</v>
      </c>
      <c r="J50" s="7">
        <v>48</v>
      </c>
      <c r="K50" s="7">
        <v>5</v>
      </c>
      <c r="L50" s="7">
        <v>48</v>
      </c>
      <c r="M50" s="7">
        <v>6</v>
      </c>
      <c r="N50" s="7">
        <v>10</v>
      </c>
      <c r="O50" s="7">
        <v>7</v>
      </c>
      <c r="P50" s="7">
        <v>3</v>
      </c>
      <c r="Q50" s="7">
        <v>2</v>
      </c>
      <c r="R50" s="7">
        <v>1</v>
      </c>
      <c r="S50" s="7">
        <v>4</v>
      </c>
      <c r="T50" s="7">
        <v>6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f t="shared" ca="1" si="0"/>
        <v>75</v>
      </c>
      <c r="AC50" s="7">
        <f>[1]!Table1[[#This Row],[Kidhome]]+[1]!Table1[[#This Row],[Teenhome]]</f>
        <v>3</v>
      </c>
      <c r="AD50" s="7">
        <f t="shared" si="1"/>
        <v>124</v>
      </c>
      <c r="AE50" s="7">
        <f t="shared" si="2"/>
        <v>6</v>
      </c>
      <c r="AF50" s="10">
        <f t="shared" si="3"/>
        <v>6</v>
      </c>
    </row>
    <row r="51" spans="1:32" x14ac:dyDescent="0.3">
      <c r="A51" s="11">
        <v>6566</v>
      </c>
      <c r="B51" s="12">
        <v>1954</v>
      </c>
      <c r="C51" s="12" t="s">
        <v>35</v>
      </c>
      <c r="D51" s="12" t="s">
        <v>36</v>
      </c>
      <c r="E51" s="13">
        <v>72550</v>
      </c>
      <c r="F51" s="12">
        <v>1</v>
      </c>
      <c r="G51" s="12">
        <v>1</v>
      </c>
      <c r="H51" s="14">
        <v>41221</v>
      </c>
      <c r="I51" s="12">
        <v>39</v>
      </c>
      <c r="J51" s="12">
        <v>826</v>
      </c>
      <c r="K51" s="12">
        <v>50</v>
      </c>
      <c r="L51" s="12">
        <v>317</v>
      </c>
      <c r="M51" s="12">
        <v>50</v>
      </c>
      <c r="N51" s="12">
        <v>38</v>
      </c>
      <c r="O51" s="12">
        <v>38</v>
      </c>
      <c r="P51" s="12">
        <v>9</v>
      </c>
      <c r="Q51" s="12">
        <v>5</v>
      </c>
      <c r="R51" s="12">
        <v>2</v>
      </c>
      <c r="S51" s="12">
        <v>12</v>
      </c>
      <c r="T51" s="12">
        <v>8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f t="shared" ca="1" si="0"/>
        <v>72</v>
      </c>
      <c r="AC51" s="12">
        <f>[1]!Table1[[#This Row],[Kidhome]]+[1]!Table1[[#This Row],[Teenhome]]</f>
        <v>2</v>
      </c>
      <c r="AD51" s="12">
        <f t="shared" si="1"/>
        <v>1319</v>
      </c>
      <c r="AE51" s="12">
        <f t="shared" si="2"/>
        <v>16</v>
      </c>
      <c r="AF51" s="15">
        <f t="shared" si="3"/>
        <v>16</v>
      </c>
    </row>
    <row r="52" spans="1:32" x14ac:dyDescent="0.3">
      <c r="A52" s="6">
        <v>8614</v>
      </c>
      <c r="B52" s="7">
        <v>1957</v>
      </c>
      <c r="C52" s="7" t="s">
        <v>32</v>
      </c>
      <c r="D52" s="7" t="s">
        <v>41</v>
      </c>
      <c r="E52" s="8">
        <v>65486</v>
      </c>
      <c r="F52" s="7">
        <v>0</v>
      </c>
      <c r="G52" s="7">
        <v>1</v>
      </c>
      <c r="H52" s="9">
        <v>41771</v>
      </c>
      <c r="I52" s="7">
        <v>29</v>
      </c>
      <c r="J52" s="7">
        <v>245</v>
      </c>
      <c r="K52" s="7">
        <v>19</v>
      </c>
      <c r="L52" s="7">
        <v>125</v>
      </c>
      <c r="M52" s="7">
        <v>37</v>
      </c>
      <c r="N52" s="7">
        <v>67</v>
      </c>
      <c r="O52" s="7">
        <v>14</v>
      </c>
      <c r="P52" s="7">
        <v>1</v>
      </c>
      <c r="Q52" s="7">
        <v>4</v>
      </c>
      <c r="R52" s="7">
        <v>2</v>
      </c>
      <c r="S52" s="7">
        <v>10</v>
      </c>
      <c r="T52" s="7">
        <v>2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f t="shared" ca="1" si="0"/>
        <v>69</v>
      </c>
      <c r="AC52" s="7">
        <f>[1]!Table1[[#This Row],[Kidhome]]+[1]!Table1[[#This Row],[Teenhome]]</f>
        <v>1</v>
      </c>
      <c r="AD52" s="7">
        <f t="shared" si="1"/>
        <v>507</v>
      </c>
      <c r="AE52" s="7">
        <f t="shared" si="2"/>
        <v>7</v>
      </c>
      <c r="AF52" s="10">
        <f t="shared" si="3"/>
        <v>7</v>
      </c>
    </row>
    <row r="53" spans="1:32" x14ac:dyDescent="0.3">
      <c r="A53" s="11">
        <v>4114</v>
      </c>
      <c r="B53" s="12">
        <v>1964</v>
      </c>
      <c r="C53" s="12" t="s">
        <v>37</v>
      </c>
      <c r="D53" s="12" t="s">
        <v>36</v>
      </c>
      <c r="E53" s="13">
        <v>79143</v>
      </c>
      <c r="F53" s="12">
        <v>0</v>
      </c>
      <c r="G53" s="12">
        <v>0</v>
      </c>
      <c r="H53" s="14">
        <v>41132</v>
      </c>
      <c r="I53" s="12">
        <v>2</v>
      </c>
      <c r="J53" s="12">
        <v>650</v>
      </c>
      <c r="K53" s="12">
        <v>37</v>
      </c>
      <c r="L53" s="12">
        <v>780</v>
      </c>
      <c r="M53" s="12">
        <v>27</v>
      </c>
      <c r="N53" s="12">
        <v>167</v>
      </c>
      <c r="O53" s="12">
        <v>32</v>
      </c>
      <c r="P53" s="12">
        <v>1</v>
      </c>
      <c r="Q53" s="12">
        <v>6</v>
      </c>
      <c r="R53" s="12">
        <v>9</v>
      </c>
      <c r="S53" s="12">
        <v>13</v>
      </c>
      <c r="T53" s="12">
        <v>3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f t="shared" ca="1" si="0"/>
        <v>62</v>
      </c>
      <c r="AC53" s="12">
        <f>[1]!Table1[[#This Row],[Kidhome]]+[1]!Table1[[#This Row],[Teenhome]]</f>
        <v>0</v>
      </c>
      <c r="AD53" s="12">
        <f t="shared" si="1"/>
        <v>1693</v>
      </c>
      <c r="AE53" s="12">
        <f t="shared" si="2"/>
        <v>16</v>
      </c>
      <c r="AF53" s="15">
        <f t="shared" si="3"/>
        <v>16</v>
      </c>
    </row>
    <row r="54" spans="1:32" x14ac:dyDescent="0.3">
      <c r="A54" s="6">
        <v>1331</v>
      </c>
      <c r="B54" s="7">
        <v>1977</v>
      </c>
      <c r="C54" s="7" t="s">
        <v>32</v>
      </c>
      <c r="D54" s="7" t="s">
        <v>33</v>
      </c>
      <c r="E54" s="8">
        <v>35790</v>
      </c>
      <c r="F54" s="7">
        <v>1</v>
      </c>
      <c r="G54" s="7">
        <v>0</v>
      </c>
      <c r="H54" s="9">
        <v>41276</v>
      </c>
      <c r="I54" s="7">
        <v>54</v>
      </c>
      <c r="J54" s="7">
        <v>12</v>
      </c>
      <c r="K54" s="7">
        <v>6</v>
      </c>
      <c r="L54" s="7">
        <v>20</v>
      </c>
      <c r="M54" s="7">
        <v>30</v>
      </c>
      <c r="N54" s="7">
        <v>1</v>
      </c>
      <c r="O54" s="7">
        <v>3</v>
      </c>
      <c r="P54" s="7">
        <v>2</v>
      </c>
      <c r="Q54" s="7">
        <v>2</v>
      </c>
      <c r="R54" s="7">
        <v>0</v>
      </c>
      <c r="S54" s="7">
        <v>3</v>
      </c>
      <c r="T54" s="7">
        <v>7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f t="shared" ca="1" si="0"/>
        <v>49</v>
      </c>
      <c r="AC54" s="7">
        <f>[1]!Table1[[#This Row],[Kidhome]]+[1]!Table1[[#This Row],[Teenhome]]</f>
        <v>1</v>
      </c>
      <c r="AD54" s="7">
        <f t="shared" si="1"/>
        <v>72</v>
      </c>
      <c r="AE54" s="7">
        <f t="shared" si="2"/>
        <v>4</v>
      </c>
      <c r="AF54" s="10">
        <f t="shared" si="3"/>
        <v>4</v>
      </c>
    </row>
    <row r="55" spans="1:32" x14ac:dyDescent="0.3">
      <c r="A55" s="11">
        <v>2225</v>
      </c>
      <c r="B55" s="12">
        <v>1977</v>
      </c>
      <c r="C55" s="12" t="s">
        <v>32</v>
      </c>
      <c r="D55" s="12" t="s">
        <v>38</v>
      </c>
      <c r="E55" s="13">
        <v>82582</v>
      </c>
      <c r="F55" s="12">
        <v>0</v>
      </c>
      <c r="G55" s="12">
        <v>0</v>
      </c>
      <c r="H55" s="14">
        <v>41797</v>
      </c>
      <c r="I55" s="12">
        <v>54</v>
      </c>
      <c r="J55" s="12">
        <v>510</v>
      </c>
      <c r="K55" s="12">
        <v>120</v>
      </c>
      <c r="L55" s="12">
        <v>550</v>
      </c>
      <c r="M55" s="12">
        <v>156</v>
      </c>
      <c r="N55" s="12">
        <v>40</v>
      </c>
      <c r="O55" s="12">
        <v>241</v>
      </c>
      <c r="P55" s="12">
        <v>1</v>
      </c>
      <c r="Q55" s="12">
        <v>4</v>
      </c>
      <c r="R55" s="12">
        <v>9</v>
      </c>
      <c r="S55" s="12">
        <v>7</v>
      </c>
      <c r="T55" s="12">
        <v>1</v>
      </c>
      <c r="U55" s="12">
        <v>1</v>
      </c>
      <c r="V55" s="12">
        <v>0</v>
      </c>
      <c r="W55" s="12">
        <v>0</v>
      </c>
      <c r="X55" s="12">
        <v>1</v>
      </c>
      <c r="Y55" s="12">
        <v>0</v>
      </c>
      <c r="Z55" s="12">
        <v>0</v>
      </c>
      <c r="AA55" s="12">
        <v>1</v>
      </c>
      <c r="AB55" s="12">
        <f t="shared" ca="1" si="0"/>
        <v>49</v>
      </c>
      <c r="AC55" s="12">
        <f>[1]!Table1[[#This Row],[Kidhome]]+[1]!Table1[[#This Row],[Teenhome]]</f>
        <v>0</v>
      </c>
      <c r="AD55" s="12">
        <f t="shared" si="1"/>
        <v>1617</v>
      </c>
      <c r="AE55" s="12">
        <f t="shared" si="2"/>
        <v>14</v>
      </c>
      <c r="AF55" s="15">
        <f t="shared" si="3"/>
        <v>14</v>
      </c>
    </row>
    <row r="56" spans="1:32" x14ac:dyDescent="0.3">
      <c r="A56" s="6">
        <v>9381</v>
      </c>
      <c r="B56" s="7">
        <v>1978</v>
      </c>
      <c r="C56" s="7" t="s">
        <v>32</v>
      </c>
      <c r="D56" s="7" t="s">
        <v>36</v>
      </c>
      <c r="E56" s="8">
        <v>66373</v>
      </c>
      <c r="F56" s="7">
        <v>1</v>
      </c>
      <c r="G56" s="7">
        <v>1</v>
      </c>
      <c r="H56" s="9">
        <v>41437</v>
      </c>
      <c r="I56" s="7">
        <v>57</v>
      </c>
      <c r="J56" s="7">
        <v>328</v>
      </c>
      <c r="K56" s="7">
        <v>9</v>
      </c>
      <c r="L56" s="7">
        <v>124</v>
      </c>
      <c r="M56" s="7">
        <v>12</v>
      </c>
      <c r="N56" s="7">
        <v>24</v>
      </c>
      <c r="O56" s="7">
        <v>109</v>
      </c>
      <c r="P56" s="7">
        <v>7</v>
      </c>
      <c r="Q56" s="7">
        <v>4</v>
      </c>
      <c r="R56" s="7">
        <v>2</v>
      </c>
      <c r="S56" s="7">
        <v>10</v>
      </c>
      <c r="T56" s="7">
        <v>3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f t="shared" ca="1" si="0"/>
        <v>48</v>
      </c>
      <c r="AC56" s="7">
        <f>[1]!Table1[[#This Row],[Kidhome]]+[1]!Table1[[#This Row],[Teenhome]]</f>
        <v>2</v>
      </c>
      <c r="AD56" s="7">
        <f t="shared" si="1"/>
        <v>606</v>
      </c>
      <c r="AE56" s="7">
        <f t="shared" si="2"/>
        <v>13</v>
      </c>
      <c r="AF56" s="10">
        <f t="shared" si="3"/>
        <v>13</v>
      </c>
    </row>
    <row r="57" spans="1:32" x14ac:dyDescent="0.3">
      <c r="A57" s="11">
        <v>6260</v>
      </c>
      <c r="B57" s="12">
        <v>1955</v>
      </c>
      <c r="C57" s="12" t="s">
        <v>37</v>
      </c>
      <c r="D57" s="12" t="s">
        <v>34</v>
      </c>
      <c r="E57" s="13">
        <v>82384</v>
      </c>
      <c r="F57" s="12">
        <v>0</v>
      </c>
      <c r="G57" s="12">
        <v>0</v>
      </c>
      <c r="H57" s="14">
        <v>41232</v>
      </c>
      <c r="I57" s="12">
        <v>55</v>
      </c>
      <c r="J57" s="12">
        <v>984</v>
      </c>
      <c r="K57" s="12">
        <v>51</v>
      </c>
      <c r="L57" s="12">
        <v>432</v>
      </c>
      <c r="M57" s="12">
        <v>180</v>
      </c>
      <c r="N57" s="12">
        <v>120</v>
      </c>
      <c r="O57" s="12">
        <v>190</v>
      </c>
      <c r="P57" s="12">
        <v>1</v>
      </c>
      <c r="Q57" s="12">
        <v>3</v>
      </c>
      <c r="R57" s="12">
        <v>10</v>
      </c>
      <c r="S57" s="12">
        <v>13</v>
      </c>
      <c r="T57" s="12">
        <v>1</v>
      </c>
      <c r="U57" s="12">
        <v>0</v>
      </c>
      <c r="V57" s="12">
        <v>0</v>
      </c>
      <c r="W57" s="12">
        <v>1</v>
      </c>
      <c r="X57" s="12">
        <v>0</v>
      </c>
      <c r="Y57" s="12">
        <v>0</v>
      </c>
      <c r="Z57" s="12">
        <v>0</v>
      </c>
      <c r="AA57" s="12">
        <v>1</v>
      </c>
      <c r="AB57" s="12">
        <f t="shared" ca="1" si="0"/>
        <v>71</v>
      </c>
      <c r="AC57" s="12">
        <f>[1]!Table1[[#This Row],[Kidhome]]+[1]!Table1[[#This Row],[Teenhome]]</f>
        <v>0</v>
      </c>
      <c r="AD57" s="12">
        <f t="shared" si="1"/>
        <v>1957</v>
      </c>
      <c r="AE57" s="12">
        <f t="shared" si="2"/>
        <v>14</v>
      </c>
      <c r="AF57" s="15">
        <f t="shared" si="3"/>
        <v>14</v>
      </c>
    </row>
    <row r="58" spans="1:32" x14ac:dyDescent="0.3">
      <c r="A58" s="6">
        <v>10383</v>
      </c>
      <c r="B58" s="7">
        <v>1966</v>
      </c>
      <c r="C58" s="7" t="s">
        <v>32</v>
      </c>
      <c r="D58" s="7" t="s">
        <v>38</v>
      </c>
      <c r="E58" s="8">
        <v>70287</v>
      </c>
      <c r="F58" s="7">
        <v>0</v>
      </c>
      <c r="G58" s="7">
        <v>0</v>
      </c>
      <c r="H58" s="9">
        <v>41366</v>
      </c>
      <c r="I58" s="7">
        <v>30</v>
      </c>
      <c r="J58" s="7">
        <v>295</v>
      </c>
      <c r="K58" s="7">
        <v>35</v>
      </c>
      <c r="L58" s="7">
        <v>482</v>
      </c>
      <c r="M58" s="7">
        <v>121</v>
      </c>
      <c r="N58" s="7">
        <v>120</v>
      </c>
      <c r="O58" s="7">
        <v>40</v>
      </c>
      <c r="P58" s="7">
        <v>1</v>
      </c>
      <c r="Q58" s="7">
        <v>5</v>
      </c>
      <c r="R58" s="7">
        <v>5</v>
      </c>
      <c r="S58" s="7">
        <v>10</v>
      </c>
      <c r="T58" s="7">
        <v>3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1</v>
      </c>
      <c r="AB58" s="7">
        <f t="shared" ca="1" si="0"/>
        <v>60</v>
      </c>
      <c r="AC58" s="7">
        <f>[1]!Table1[[#This Row],[Kidhome]]+[1]!Table1[[#This Row],[Teenhome]]</f>
        <v>0</v>
      </c>
      <c r="AD58" s="7">
        <f t="shared" si="1"/>
        <v>1093</v>
      </c>
      <c r="AE58" s="7">
        <f t="shared" si="2"/>
        <v>11</v>
      </c>
      <c r="AF58" s="10">
        <f t="shared" si="3"/>
        <v>11</v>
      </c>
    </row>
    <row r="59" spans="1:32" x14ac:dyDescent="0.3">
      <c r="A59" s="11">
        <v>7437</v>
      </c>
      <c r="B59" s="12">
        <v>1988</v>
      </c>
      <c r="C59" s="12" t="s">
        <v>32</v>
      </c>
      <c r="D59" s="12" t="s">
        <v>33</v>
      </c>
      <c r="E59" s="13">
        <v>27938</v>
      </c>
      <c r="F59" s="12">
        <v>1</v>
      </c>
      <c r="G59" s="12">
        <v>0</v>
      </c>
      <c r="H59" s="14">
        <v>41757</v>
      </c>
      <c r="I59" s="12">
        <v>31</v>
      </c>
      <c r="J59" s="12">
        <v>13</v>
      </c>
      <c r="K59" s="12">
        <v>0</v>
      </c>
      <c r="L59" s="12">
        <v>8</v>
      </c>
      <c r="M59" s="12">
        <v>2</v>
      </c>
      <c r="N59" s="12">
        <v>1</v>
      </c>
      <c r="O59" s="12">
        <v>5</v>
      </c>
      <c r="P59" s="12">
        <v>1</v>
      </c>
      <c r="Q59" s="12">
        <v>1</v>
      </c>
      <c r="R59" s="12">
        <v>0</v>
      </c>
      <c r="S59" s="12">
        <v>4</v>
      </c>
      <c r="T59" s="12">
        <v>3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f t="shared" ca="1" si="0"/>
        <v>38</v>
      </c>
      <c r="AC59" s="12">
        <f>[1]!Table1[[#This Row],[Kidhome]]+[1]!Table1[[#This Row],[Teenhome]]</f>
        <v>1</v>
      </c>
      <c r="AD59" s="12">
        <f t="shared" si="1"/>
        <v>29</v>
      </c>
      <c r="AE59" s="12">
        <f t="shared" si="2"/>
        <v>2</v>
      </c>
      <c r="AF59" s="15">
        <f t="shared" si="3"/>
        <v>2</v>
      </c>
    </row>
    <row r="60" spans="1:32" x14ac:dyDescent="0.3">
      <c r="A60" s="6">
        <v>8557</v>
      </c>
      <c r="B60" s="7">
        <v>1982</v>
      </c>
      <c r="C60" s="7" t="s">
        <v>32</v>
      </c>
      <c r="D60" s="7" t="s">
        <v>33</v>
      </c>
      <c r="E60" s="8">
        <v>58138</v>
      </c>
      <c r="F60" s="7">
        <v>1</v>
      </c>
      <c r="G60" s="7">
        <v>0</v>
      </c>
      <c r="H60" s="9">
        <v>41442</v>
      </c>
      <c r="I60" s="7">
        <v>57</v>
      </c>
      <c r="J60" s="7">
        <v>11</v>
      </c>
      <c r="K60" s="7">
        <v>3</v>
      </c>
      <c r="L60" s="7">
        <v>22</v>
      </c>
      <c r="M60" s="7">
        <v>2</v>
      </c>
      <c r="N60" s="7">
        <v>2</v>
      </c>
      <c r="O60" s="7">
        <v>6</v>
      </c>
      <c r="P60" s="7">
        <v>2</v>
      </c>
      <c r="Q60" s="7">
        <v>2</v>
      </c>
      <c r="R60" s="7">
        <v>0</v>
      </c>
      <c r="S60" s="7">
        <v>3</v>
      </c>
      <c r="T60" s="7">
        <v>6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f t="shared" ca="1" si="0"/>
        <v>44</v>
      </c>
      <c r="AC60" s="7">
        <f>[1]!Table1[[#This Row],[Kidhome]]+[1]!Table1[[#This Row],[Teenhome]]</f>
        <v>1</v>
      </c>
      <c r="AD60" s="7">
        <f t="shared" si="1"/>
        <v>46</v>
      </c>
      <c r="AE60" s="7">
        <f t="shared" si="2"/>
        <v>4</v>
      </c>
      <c r="AF60" s="10">
        <f t="shared" si="3"/>
        <v>4</v>
      </c>
    </row>
    <row r="61" spans="1:32" x14ac:dyDescent="0.3">
      <c r="A61" s="11">
        <v>8375</v>
      </c>
      <c r="B61" s="12">
        <v>1968</v>
      </c>
      <c r="C61" s="12" t="s">
        <v>35</v>
      </c>
      <c r="D61" s="12" t="s">
        <v>36</v>
      </c>
      <c r="E61" s="13">
        <v>55954</v>
      </c>
      <c r="F61" s="12">
        <v>0</v>
      </c>
      <c r="G61" s="12">
        <v>1</v>
      </c>
      <c r="H61" s="14">
        <v>41701</v>
      </c>
      <c r="I61" s="12">
        <v>63</v>
      </c>
      <c r="J61" s="12">
        <v>447</v>
      </c>
      <c r="K61" s="12">
        <v>0</v>
      </c>
      <c r="L61" s="12">
        <v>28</v>
      </c>
      <c r="M61" s="12">
        <v>0</v>
      </c>
      <c r="N61" s="12">
        <v>0</v>
      </c>
      <c r="O61" s="12">
        <v>43</v>
      </c>
      <c r="P61" s="12">
        <v>3</v>
      </c>
      <c r="Q61" s="12">
        <v>8</v>
      </c>
      <c r="R61" s="12">
        <v>2</v>
      </c>
      <c r="S61" s="12">
        <v>6</v>
      </c>
      <c r="T61" s="12">
        <v>7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f t="shared" ca="1" si="0"/>
        <v>58</v>
      </c>
      <c r="AC61" s="12">
        <f>[1]!Table1[[#This Row],[Kidhome]]+[1]!Table1[[#This Row],[Teenhome]]</f>
        <v>1</v>
      </c>
      <c r="AD61" s="12">
        <f t="shared" si="1"/>
        <v>518</v>
      </c>
      <c r="AE61" s="12">
        <f t="shared" si="2"/>
        <v>13</v>
      </c>
      <c r="AF61" s="15">
        <f t="shared" si="3"/>
        <v>13</v>
      </c>
    </row>
    <row r="62" spans="1:32" x14ac:dyDescent="0.3">
      <c r="A62" s="6">
        <v>6853</v>
      </c>
      <c r="B62" s="7">
        <v>1982</v>
      </c>
      <c r="C62" s="7" t="s">
        <v>37</v>
      </c>
      <c r="D62" s="7" t="s">
        <v>33</v>
      </c>
      <c r="E62" s="8">
        <v>75777</v>
      </c>
      <c r="F62" s="7">
        <v>0</v>
      </c>
      <c r="G62" s="7">
        <v>0</v>
      </c>
      <c r="H62" s="9">
        <v>41459</v>
      </c>
      <c r="I62" s="7">
        <v>12</v>
      </c>
      <c r="J62" s="7">
        <v>712</v>
      </c>
      <c r="K62" s="7">
        <v>26</v>
      </c>
      <c r="L62" s="7">
        <v>538</v>
      </c>
      <c r="M62" s="7">
        <v>69</v>
      </c>
      <c r="N62" s="7">
        <v>13</v>
      </c>
      <c r="O62" s="7">
        <v>80</v>
      </c>
      <c r="P62" s="7">
        <v>1</v>
      </c>
      <c r="Q62" s="7">
        <v>3</v>
      </c>
      <c r="R62" s="7">
        <v>6</v>
      </c>
      <c r="S62" s="7">
        <v>11</v>
      </c>
      <c r="T62" s="7">
        <v>1</v>
      </c>
      <c r="U62" s="7">
        <v>0</v>
      </c>
      <c r="V62" s="7">
        <v>1</v>
      </c>
      <c r="W62" s="7">
        <v>1</v>
      </c>
      <c r="X62" s="7">
        <v>0</v>
      </c>
      <c r="Y62" s="7">
        <v>0</v>
      </c>
      <c r="Z62" s="7">
        <v>0</v>
      </c>
      <c r="AA62" s="7">
        <v>1</v>
      </c>
      <c r="AB62" s="7">
        <f t="shared" ca="1" si="0"/>
        <v>44</v>
      </c>
      <c r="AC62" s="7">
        <f>[1]!Table1[[#This Row],[Kidhome]]+[1]!Table1[[#This Row],[Teenhome]]</f>
        <v>0</v>
      </c>
      <c r="AD62" s="7">
        <f t="shared" si="1"/>
        <v>1438</v>
      </c>
      <c r="AE62" s="7">
        <f t="shared" si="2"/>
        <v>10</v>
      </c>
      <c r="AF62" s="10">
        <f t="shared" si="3"/>
        <v>10</v>
      </c>
    </row>
    <row r="63" spans="1:32" x14ac:dyDescent="0.3">
      <c r="A63" s="11">
        <v>3076</v>
      </c>
      <c r="B63" s="12">
        <v>1975</v>
      </c>
      <c r="C63" s="12" t="s">
        <v>32</v>
      </c>
      <c r="D63" s="12" t="s">
        <v>34</v>
      </c>
      <c r="E63" s="13">
        <v>66653</v>
      </c>
      <c r="F63" s="12">
        <v>1</v>
      </c>
      <c r="G63" s="12">
        <v>1</v>
      </c>
      <c r="H63" s="14">
        <v>41159</v>
      </c>
      <c r="I63" s="12">
        <v>18</v>
      </c>
      <c r="J63" s="12">
        <v>452</v>
      </c>
      <c r="K63" s="12">
        <v>18</v>
      </c>
      <c r="L63" s="12">
        <v>102</v>
      </c>
      <c r="M63" s="12">
        <v>16</v>
      </c>
      <c r="N63" s="12">
        <v>18</v>
      </c>
      <c r="O63" s="12">
        <v>6</v>
      </c>
      <c r="P63" s="12">
        <v>4</v>
      </c>
      <c r="Q63" s="12">
        <v>4</v>
      </c>
      <c r="R63" s="12">
        <v>2</v>
      </c>
      <c r="S63" s="12">
        <v>12</v>
      </c>
      <c r="T63" s="12">
        <v>3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f t="shared" ca="1" si="0"/>
        <v>51</v>
      </c>
      <c r="AC63" s="12">
        <f>[1]!Table1[[#This Row],[Kidhome]]+[1]!Table1[[#This Row],[Teenhome]]</f>
        <v>2</v>
      </c>
      <c r="AD63" s="12">
        <f t="shared" si="1"/>
        <v>612</v>
      </c>
      <c r="AE63" s="12">
        <f t="shared" si="2"/>
        <v>10</v>
      </c>
      <c r="AF63" s="15">
        <f t="shared" si="3"/>
        <v>10</v>
      </c>
    </row>
    <row r="64" spans="1:32" x14ac:dyDescent="0.3">
      <c r="A64" s="6">
        <v>1012</v>
      </c>
      <c r="B64" s="7">
        <v>1952</v>
      </c>
      <c r="C64" s="7" t="s">
        <v>32</v>
      </c>
      <c r="D64" s="7" t="s">
        <v>33</v>
      </c>
      <c r="E64" s="8">
        <v>61823</v>
      </c>
      <c r="F64" s="7">
        <v>0</v>
      </c>
      <c r="G64" s="7">
        <v>1</v>
      </c>
      <c r="H64" s="9">
        <v>41323</v>
      </c>
      <c r="I64" s="7">
        <v>26</v>
      </c>
      <c r="J64" s="7">
        <v>523</v>
      </c>
      <c r="K64" s="7">
        <v>7</v>
      </c>
      <c r="L64" s="7">
        <v>134</v>
      </c>
      <c r="M64" s="7">
        <v>37</v>
      </c>
      <c r="N64" s="7">
        <v>14</v>
      </c>
      <c r="O64" s="7">
        <v>169</v>
      </c>
      <c r="P64" s="7">
        <v>4</v>
      </c>
      <c r="Q64" s="7">
        <v>8</v>
      </c>
      <c r="R64" s="7">
        <v>2</v>
      </c>
      <c r="S64" s="7">
        <v>10</v>
      </c>
      <c r="T64" s="7">
        <v>7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f t="shared" ca="1" si="0"/>
        <v>74</v>
      </c>
      <c r="AC64" s="7">
        <f>[1]!Table1[[#This Row],[Kidhome]]+[1]!Table1[[#This Row],[Teenhome]]</f>
        <v>1</v>
      </c>
      <c r="AD64" s="7">
        <f t="shared" si="1"/>
        <v>884</v>
      </c>
      <c r="AE64" s="7">
        <f t="shared" si="2"/>
        <v>14</v>
      </c>
      <c r="AF64" s="10">
        <f t="shared" si="3"/>
        <v>14</v>
      </c>
    </row>
    <row r="65" spans="1:32" x14ac:dyDescent="0.3">
      <c r="A65" s="11">
        <v>6518</v>
      </c>
      <c r="B65" s="12">
        <v>1951</v>
      </c>
      <c r="C65" s="12" t="s">
        <v>35</v>
      </c>
      <c r="D65" s="12" t="s">
        <v>41</v>
      </c>
      <c r="E65" s="13">
        <v>67680</v>
      </c>
      <c r="F65" s="12">
        <v>0</v>
      </c>
      <c r="G65" s="12">
        <v>1</v>
      </c>
      <c r="H65" s="14">
        <v>41436</v>
      </c>
      <c r="I65" s="12">
        <v>8</v>
      </c>
      <c r="J65" s="12">
        <v>546</v>
      </c>
      <c r="K65" s="12">
        <v>0</v>
      </c>
      <c r="L65" s="12">
        <v>48</v>
      </c>
      <c r="M65" s="12">
        <v>0</v>
      </c>
      <c r="N65" s="12">
        <v>6</v>
      </c>
      <c r="O65" s="12">
        <v>6</v>
      </c>
      <c r="P65" s="12">
        <v>1</v>
      </c>
      <c r="Q65" s="12">
        <v>7</v>
      </c>
      <c r="R65" s="12">
        <v>3</v>
      </c>
      <c r="S65" s="12">
        <v>8</v>
      </c>
      <c r="T65" s="12">
        <v>5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f t="shared" ca="1" si="0"/>
        <v>75</v>
      </c>
      <c r="AC65" s="12">
        <f>[1]!Table1[[#This Row],[Kidhome]]+[1]!Table1[[#This Row],[Teenhome]]</f>
        <v>1</v>
      </c>
      <c r="AD65" s="12">
        <f t="shared" si="1"/>
        <v>606</v>
      </c>
      <c r="AE65" s="12">
        <f t="shared" si="2"/>
        <v>11</v>
      </c>
      <c r="AF65" s="15">
        <f t="shared" si="3"/>
        <v>11</v>
      </c>
    </row>
    <row r="66" spans="1:32" x14ac:dyDescent="0.3">
      <c r="A66" s="6">
        <v>4137</v>
      </c>
      <c r="B66" s="7">
        <v>1948</v>
      </c>
      <c r="C66" s="7" t="s">
        <v>32</v>
      </c>
      <c r="D66" s="7" t="s">
        <v>34</v>
      </c>
      <c r="E66" s="8">
        <v>70666</v>
      </c>
      <c r="F66" s="7">
        <v>0</v>
      </c>
      <c r="G66" s="7">
        <v>0</v>
      </c>
      <c r="H66" s="9">
        <v>41614</v>
      </c>
      <c r="I66" s="7">
        <v>29</v>
      </c>
      <c r="J66" s="7">
        <v>398</v>
      </c>
      <c r="K66" s="7">
        <v>40</v>
      </c>
      <c r="L66" s="7">
        <v>367</v>
      </c>
      <c r="M66" s="7">
        <v>119</v>
      </c>
      <c r="N66" s="7">
        <v>122</v>
      </c>
      <c r="O66" s="7">
        <v>30</v>
      </c>
      <c r="P66" s="7">
        <v>1</v>
      </c>
      <c r="Q66" s="7">
        <v>7</v>
      </c>
      <c r="R66" s="7">
        <v>4</v>
      </c>
      <c r="S66" s="7">
        <v>4</v>
      </c>
      <c r="T66" s="7">
        <v>4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f t="shared" ref="AB66:AB129" ca="1" si="4">YEAR(TODAY())-B66</f>
        <v>78</v>
      </c>
      <c r="AC66" s="7">
        <f>[1]!Table1[[#This Row],[Kidhome]]+[1]!Table1[[#This Row],[Teenhome]]</f>
        <v>0</v>
      </c>
      <c r="AD66" s="7">
        <f t="shared" ref="AD66:AD129" si="5">SUM(J66:O66)</f>
        <v>1076</v>
      </c>
      <c r="AE66" s="7">
        <f t="shared" ref="AE66:AE129" si="6">P66+Q66+R66</f>
        <v>12</v>
      </c>
      <c r="AF66" s="10">
        <f t="shared" ref="AF66:AF129" si="7">P66+Q66+R66</f>
        <v>12</v>
      </c>
    </row>
    <row r="67" spans="1:32" x14ac:dyDescent="0.3">
      <c r="A67" s="11">
        <v>8082</v>
      </c>
      <c r="B67" s="12">
        <v>1971</v>
      </c>
      <c r="C67" s="12" t="s">
        <v>32</v>
      </c>
      <c r="D67" s="12" t="s">
        <v>36</v>
      </c>
      <c r="E67" s="13">
        <v>25721</v>
      </c>
      <c r="F67" s="12">
        <v>1</v>
      </c>
      <c r="G67" s="12">
        <v>0</v>
      </c>
      <c r="H67" s="14">
        <v>41415</v>
      </c>
      <c r="I67" s="12">
        <v>75</v>
      </c>
      <c r="J67" s="12">
        <v>1</v>
      </c>
      <c r="K67" s="12">
        <v>3</v>
      </c>
      <c r="L67" s="12">
        <v>6</v>
      </c>
      <c r="M67" s="12">
        <v>3</v>
      </c>
      <c r="N67" s="12">
        <v>6</v>
      </c>
      <c r="O67" s="12">
        <v>15</v>
      </c>
      <c r="P67" s="12">
        <v>1</v>
      </c>
      <c r="Q67" s="12">
        <v>1</v>
      </c>
      <c r="R67" s="12">
        <v>1</v>
      </c>
      <c r="S67" s="12">
        <v>2</v>
      </c>
      <c r="T67" s="12">
        <v>7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1</v>
      </c>
      <c r="AB67" s="12">
        <f t="shared" ca="1" si="4"/>
        <v>55</v>
      </c>
      <c r="AC67" s="12">
        <f>[1]!Table1[[#This Row],[Kidhome]]+[1]!Table1[[#This Row],[Teenhome]]</f>
        <v>1</v>
      </c>
      <c r="AD67" s="12">
        <f t="shared" si="5"/>
        <v>34</v>
      </c>
      <c r="AE67" s="12">
        <f t="shared" si="6"/>
        <v>3</v>
      </c>
      <c r="AF67" s="15">
        <f t="shared" si="7"/>
        <v>3</v>
      </c>
    </row>
    <row r="68" spans="1:32" x14ac:dyDescent="0.3">
      <c r="A68" s="6">
        <v>1386</v>
      </c>
      <c r="B68" s="7">
        <v>1967</v>
      </c>
      <c r="C68" s="7" t="s">
        <v>32</v>
      </c>
      <c r="D68" s="7" t="s">
        <v>34</v>
      </c>
      <c r="E68" s="8">
        <v>32474</v>
      </c>
      <c r="F68" s="7">
        <v>1</v>
      </c>
      <c r="G68" s="7">
        <v>1</v>
      </c>
      <c r="H68" s="9">
        <v>41770</v>
      </c>
      <c r="I68" s="7">
        <v>0</v>
      </c>
      <c r="J68" s="7">
        <v>10</v>
      </c>
      <c r="K68" s="7">
        <v>0</v>
      </c>
      <c r="L68" s="7">
        <v>1</v>
      </c>
      <c r="M68" s="7">
        <v>0</v>
      </c>
      <c r="N68" s="7">
        <v>0</v>
      </c>
      <c r="O68" s="7">
        <v>0</v>
      </c>
      <c r="P68" s="7">
        <v>1</v>
      </c>
      <c r="Q68" s="7">
        <v>1</v>
      </c>
      <c r="R68" s="7">
        <v>0</v>
      </c>
      <c r="S68" s="7">
        <v>2</v>
      </c>
      <c r="T68" s="7">
        <v>7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f t="shared" ca="1" si="4"/>
        <v>59</v>
      </c>
      <c r="AC68" s="7">
        <f>[1]!Table1[[#This Row],[Kidhome]]+[1]!Table1[[#This Row],[Teenhome]]</f>
        <v>2</v>
      </c>
      <c r="AD68" s="7">
        <f t="shared" si="5"/>
        <v>11</v>
      </c>
      <c r="AE68" s="7">
        <f t="shared" si="6"/>
        <v>2</v>
      </c>
      <c r="AF68" s="10">
        <f t="shared" si="7"/>
        <v>2</v>
      </c>
    </row>
    <row r="69" spans="1:32" x14ac:dyDescent="0.3">
      <c r="A69" s="11">
        <v>9369</v>
      </c>
      <c r="B69" s="12">
        <v>1979</v>
      </c>
      <c r="C69" s="12" t="s">
        <v>40</v>
      </c>
      <c r="D69" s="12" t="s">
        <v>33</v>
      </c>
      <c r="E69" s="13">
        <v>88194</v>
      </c>
      <c r="F69" s="12">
        <v>0</v>
      </c>
      <c r="G69" s="12">
        <v>1</v>
      </c>
      <c r="H69" s="14">
        <v>41717</v>
      </c>
      <c r="I69" s="12">
        <v>19</v>
      </c>
      <c r="J69" s="12">
        <v>688</v>
      </c>
      <c r="K69" s="12">
        <v>14</v>
      </c>
      <c r="L69" s="12">
        <v>309</v>
      </c>
      <c r="M69" s="12">
        <v>201</v>
      </c>
      <c r="N69" s="12">
        <v>24</v>
      </c>
      <c r="O69" s="12">
        <v>38</v>
      </c>
      <c r="P69" s="12">
        <v>1</v>
      </c>
      <c r="Q69" s="12">
        <v>11</v>
      </c>
      <c r="R69" s="12">
        <v>10</v>
      </c>
      <c r="S69" s="12">
        <v>10</v>
      </c>
      <c r="T69" s="12">
        <v>5</v>
      </c>
      <c r="U69" s="12">
        <v>1</v>
      </c>
      <c r="V69" s="12">
        <v>0</v>
      </c>
      <c r="W69" s="12">
        <v>0</v>
      </c>
      <c r="X69" s="12">
        <v>1</v>
      </c>
      <c r="Y69" s="12">
        <v>0</v>
      </c>
      <c r="Z69" s="12">
        <v>0</v>
      </c>
      <c r="AA69" s="12">
        <v>1</v>
      </c>
      <c r="AB69" s="12">
        <f t="shared" ca="1" si="4"/>
        <v>47</v>
      </c>
      <c r="AC69" s="12">
        <f>[1]!Table1[[#This Row],[Kidhome]]+[1]!Table1[[#This Row],[Teenhome]]</f>
        <v>1</v>
      </c>
      <c r="AD69" s="12">
        <f t="shared" si="5"/>
        <v>1274</v>
      </c>
      <c r="AE69" s="12">
        <f t="shared" si="6"/>
        <v>22</v>
      </c>
      <c r="AF69" s="15">
        <f t="shared" si="7"/>
        <v>22</v>
      </c>
    </row>
    <row r="70" spans="1:32" x14ac:dyDescent="0.3">
      <c r="A70" s="6">
        <v>4477</v>
      </c>
      <c r="B70" s="7">
        <v>1958</v>
      </c>
      <c r="C70" s="7" t="s">
        <v>32</v>
      </c>
      <c r="D70" s="7" t="s">
        <v>34</v>
      </c>
      <c r="E70" s="8">
        <v>69096</v>
      </c>
      <c r="F70" s="7">
        <v>0</v>
      </c>
      <c r="G70" s="7">
        <v>1</v>
      </c>
      <c r="H70" s="9">
        <v>41544</v>
      </c>
      <c r="I70" s="7">
        <v>4</v>
      </c>
      <c r="J70" s="7">
        <v>247</v>
      </c>
      <c r="K70" s="7">
        <v>49</v>
      </c>
      <c r="L70" s="7">
        <v>159</v>
      </c>
      <c r="M70" s="7">
        <v>7</v>
      </c>
      <c r="N70" s="7">
        <v>82</v>
      </c>
      <c r="O70" s="7">
        <v>109</v>
      </c>
      <c r="P70" s="7">
        <v>1</v>
      </c>
      <c r="Q70" s="7">
        <v>5</v>
      </c>
      <c r="R70" s="7">
        <v>2</v>
      </c>
      <c r="S70" s="7">
        <v>10</v>
      </c>
      <c r="T70" s="7">
        <v>4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f t="shared" ca="1" si="4"/>
        <v>68</v>
      </c>
      <c r="AC70" s="7">
        <f>[1]!Table1[[#This Row],[Kidhome]]+[1]!Table1[[#This Row],[Teenhome]]</f>
        <v>1</v>
      </c>
      <c r="AD70" s="7">
        <f t="shared" si="5"/>
        <v>653</v>
      </c>
      <c r="AE70" s="7">
        <f t="shared" si="6"/>
        <v>8</v>
      </c>
      <c r="AF70" s="10">
        <f t="shared" si="7"/>
        <v>8</v>
      </c>
    </row>
    <row r="71" spans="1:32" x14ac:dyDescent="0.3">
      <c r="A71" s="11">
        <v>1357</v>
      </c>
      <c r="B71" s="12">
        <v>1970</v>
      </c>
      <c r="C71" s="12" t="s">
        <v>32</v>
      </c>
      <c r="D71" s="12" t="s">
        <v>34</v>
      </c>
      <c r="E71" s="13">
        <v>74854</v>
      </c>
      <c r="F71" s="12">
        <v>1</v>
      </c>
      <c r="G71" s="12">
        <v>2</v>
      </c>
      <c r="H71" s="14">
        <v>41372</v>
      </c>
      <c r="I71" s="12">
        <v>90</v>
      </c>
      <c r="J71" s="12">
        <v>856</v>
      </c>
      <c r="K71" s="12">
        <v>59</v>
      </c>
      <c r="L71" s="12">
        <v>487</v>
      </c>
      <c r="M71" s="12">
        <v>58</v>
      </c>
      <c r="N71" s="12">
        <v>29</v>
      </c>
      <c r="O71" s="12">
        <v>73</v>
      </c>
      <c r="P71" s="12">
        <v>7</v>
      </c>
      <c r="Q71" s="12">
        <v>2</v>
      </c>
      <c r="R71" s="12">
        <v>5</v>
      </c>
      <c r="S71" s="12">
        <v>5</v>
      </c>
      <c r="T71" s="12">
        <v>5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f t="shared" ca="1" si="4"/>
        <v>56</v>
      </c>
      <c r="AC71" s="12">
        <f>[1]!Table1[[#This Row],[Kidhome]]+[1]!Table1[[#This Row],[Teenhome]]</f>
        <v>3</v>
      </c>
      <c r="AD71" s="12">
        <f t="shared" si="5"/>
        <v>1562</v>
      </c>
      <c r="AE71" s="12">
        <f t="shared" si="6"/>
        <v>14</v>
      </c>
      <c r="AF71" s="15">
        <f t="shared" si="7"/>
        <v>14</v>
      </c>
    </row>
    <row r="72" spans="1:32" x14ac:dyDescent="0.3">
      <c r="A72" s="6">
        <v>1402</v>
      </c>
      <c r="B72" s="7">
        <v>1954</v>
      </c>
      <c r="C72" s="7" t="s">
        <v>37</v>
      </c>
      <c r="D72" s="7" t="s">
        <v>36</v>
      </c>
      <c r="E72" s="8">
        <v>66991</v>
      </c>
      <c r="F72" s="7">
        <v>0</v>
      </c>
      <c r="G72" s="7">
        <v>0</v>
      </c>
      <c r="H72" s="9">
        <v>41163</v>
      </c>
      <c r="I72" s="7">
        <v>1</v>
      </c>
      <c r="J72" s="7">
        <v>496</v>
      </c>
      <c r="K72" s="7">
        <v>36</v>
      </c>
      <c r="L72" s="7">
        <v>460</v>
      </c>
      <c r="M72" s="7">
        <v>189</v>
      </c>
      <c r="N72" s="7">
        <v>60</v>
      </c>
      <c r="O72" s="7">
        <v>12</v>
      </c>
      <c r="P72" s="7">
        <v>3</v>
      </c>
      <c r="Q72" s="7">
        <v>4</v>
      </c>
      <c r="R72" s="7">
        <v>8</v>
      </c>
      <c r="S72" s="7">
        <v>6</v>
      </c>
      <c r="T72" s="7">
        <v>3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f t="shared" ca="1" si="4"/>
        <v>72</v>
      </c>
      <c r="AC72" s="7">
        <f>[1]!Table1[[#This Row],[Kidhome]]+[1]!Table1[[#This Row],[Teenhome]]</f>
        <v>0</v>
      </c>
      <c r="AD72" s="7">
        <f t="shared" si="5"/>
        <v>1253</v>
      </c>
      <c r="AE72" s="7">
        <f t="shared" si="6"/>
        <v>15</v>
      </c>
      <c r="AF72" s="10">
        <f t="shared" si="7"/>
        <v>15</v>
      </c>
    </row>
    <row r="73" spans="1:32" x14ac:dyDescent="0.3">
      <c r="A73" s="11">
        <v>10629</v>
      </c>
      <c r="B73" s="12">
        <v>1973</v>
      </c>
      <c r="C73" s="12" t="s">
        <v>40</v>
      </c>
      <c r="D73" s="12" t="s">
        <v>36</v>
      </c>
      <c r="E73" s="13">
        <v>58138</v>
      </c>
      <c r="F73" s="12">
        <v>1</v>
      </c>
      <c r="G73" s="12">
        <v>0</v>
      </c>
      <c r="H73" s="14">
        <v>41166</v>
      </c>
      <c r="I73" s="12">
        <v>25</v>
      </c>
      <c r="J73" s="12">
        <v>25</v>
      </c>
      <c r="K73" s="12">
        <v>3</v>
      </c>
      <c r="L73" s="12">
        <v>43</v>
      </c>
      <c r="M73" s="12">
        <v>17</v>
      </c>
      <c r="N73" s="12">
        <v>4</v>
      </c>
      <c r="O73" s="12">
        <v>17</v>
      </c>
      <c r="P73" s="12">
        <v>3</v>
      </c>
      <c r="Q73" s="12">
        <v>3</v>
      </c>
      <c r="R73" s="12">
        <v>0</v>
      </c>
      <c r="S73" s="12">
        <v>3</v>
      </c>
      <c r="T73" s="12">
        <v>8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f t="shared" ca="1" si="4"/>
        <v>53</v>
      </c>
      <c r="AC73" s="12">
        <f>[1]!Table1[[#This Row],[Kidhome]]+[1]!Table1[[#This Row],[Teenhome]]</f>
        <v>1</v>
      </c>
      <c r="AD73" s="12">
        <f t="shared" si="5"/>
        <v>109</v>
      </c>
      <c r="AE73" s="12">
        <f t="shared" si="6"/>
        <v>6</v>
      </c>
      <c r="AF73" s="15">
        <f t="shared" si="7"/>
        <v>6</v>
      </c>
    </row>
    <row r="74" spans="1:32" x14ac:dyDescent="0.3">
      <c r="A74" s="6">
        <v>6312</v>
      </c>
      <c r="B74" s="7">
        <v>1959</v>
      </c>
      <c r="C74" s="7" t="s">
        <v>32</v>
      </c>
      <c r="D74" s="7" t="s">
        <v>36</v>
      </c>
      <c r="E74" s="8">
        <v>65031</v>
      </c>
      <c r="F74" s="7">
        <v>0</v>
      </c>
      <c r="G74" s="7">
        <v>1</v>
      </c>
      <c r="H74" s="9">
        <v>41350</v>
      </c>
      <c r="I74" s="7">
        <v>29</v>
      </c>
      <c r="J74" s="7">
        <v>258</v>
      </c>
      <c r="K74" s="7">
        <v>107</v>
      </c>
      <c r="L74" s="7">
        <v>291</v>
      </c>
      <c r="M74" s="7">
        <v>84</v>
      </c>
      <c r="N74" s="7">
        <v>37</v>
      </c>
      <c r="O74" s="7">
        <v>86</v>
      </c>
      <c r="P74" s="7">
        <v>4</v>
      </c>
      <c r="Q74" s="7">
        <v>10</v>
      </c>
      <c r="R74" s="7">
        <v>3</v>
      </c>
      <c r="S74" s="7">
        <v>13</v>
      </c>
      <c r="T74" s="7">
        <v>7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f t="shared" ca="1" si="4"/>
        <v>67</v>
      </c>
      <c r="AC74" s="7">
        <f>[1]!Table1[[#This Row],[Kidhome]]+[1]!Table1[[#This Row],[Teenhome]]</f>
        <v>1</v>
      </c>
      <c r="AD74" s="7">
        <f t="shared" si="5"/>
        <v>863</v>
      </c>
      <c r="AE74" s="7">
        <f t="shared" si="6"/>
        <v>17</v>
      </c>
      <c r="AF74" s="10">
        <f t="shared" si="7"/>
        <v>17</v>
      </c>
    </row>
    <row r="75" spans="1:32" x14ac:dyDescent="0.3">
      <c r="A75" s="11">
        <v>8132</v>
      </c>
      <c r="B75" s="12">
        <v>1975</v>
      </c>
      <c r="C75" s="12" t="s">
        <v>35</v>
      </c>
      <c r="D75" s="12" t="s">
        <v>36</v>
      </c>
      <c r="E75" s="13">
        <v>60631</v>
      </c>
      <c r="F75" s="12">
        <v>1</v>
      </c>
      <c r="G75" s="12">
        <v>1</v>
      </c>
      <c r="H75" s="14">
        <v>41369</v>
      </c>
      <c r="I75" s="12">
        <v>88</v>
      </c>
      <c r="J75" s="12">
        <v>565</v>
      </c>
      <c r="K75" s="12">
        <v>6</v>
      </c>
      <c r="L75" s="12">
        <v>65</v>
      </c>
      <c r="M75" s="12">
        <v>0</v>
      </c>
      <c r="N75" s="12">
        <v>6</v>
      </c>
      <c r="O75" s="12">
        <v>19</v>
      </c>
      <c r="P75" s="12">
        <v>5</v>
      </c>
      <c r="Q75" s="12">
        <v>9</v>
      </c>
      <c r="R75" s="12">
        <v>2</v>
      </c>
      <c r="S75" s="12">
        <v>8</v>
      </c>
      <c r="T75" s="12">
        <v>7</v>
      </c>
      <c r="U75" s="12">
        <v>0</v>
      </c>
      <c r="V75" s="12">
        <v>1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f t="shared" ca="1" si="4"/>
        <v>51</v>
      </c>
      <c r="AC75" s="12">
        <f>[1]!Table1[[#This Row],[Kidhome]]+[1]!Table1[[#This Row],[Teenhome]]</f>
        <v>2</v>
      </c>
      <c r="AD75" s="12">
        <f t="shared" si="5"/>
        <v>661</v>
      </c>
      <c r="AE75" s="12">
        <f t="shared" si="6"/>
        <v>16</v>
      </c>
      <c r="AF75" s="15">
        <f t="shared" si="7"/>
        <v>16</v>
      </c>
    </row>
    <row r="76" spans="1:32" x14ac:dyDescent="0.3">
      <c r="A76" s="6">
        <v>1050</v>
      </c>
      <c r="B76" s="7">
        <v>1952</v>
      </c>
      <c r="C76" s="7" t="s">
        <v>32</v>
      </c>
      <c r="D76" s="7" t="s">
        <v>36</v>
      </c>
      <c r="E76" s="8">
        <v>28332</v>
      </c>
      <c r="F76" s="7">
        <v>0</v>
      </c>
      <c r="G76" s="7">
        <v>0</v>
      </c>
      <c r="H76" s="9">
        <v>41759</v>
      </c>
      <c r="I76" s="7">
        <v>58</v>
      </c>
      <c r="J76" s="7">
        <v>14</v>
      </c>
      <c r="K76" s="7">
        <v>10</v>
      </c>
      <c r="L76" s="7">
        <v>13</v>
      </c>
      <c r="M76" s="7">
        <v>4</v>
      </c>
      <c r="N76" s="7">
        <v>15</v>
      </c>
      <c r="O76" s="7">
        <v>9</v>
      </c>
      <c r="P76" s="7">
        <v>1</v>
      </c>
      <c r="Q76" s="7">
        <v>2</v>
      </c>
      <c r="R76" s="7">
        <v>1</v>
      </c>
      <c r="S76" s="7">
        <v>4</v>
      </c>
      <c r="T76" s="7">
        <v>2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f t="shared" ca="1" si="4"/>
        <v>74</v>
      </c>
      <c r="AC76" s="7">
        <f>[1]!Table1[[#This Row],[Kidhome]]+[1]!Table1[[#This Row],[Teenhome]]</f>
        <v>0</v>
      </c>
      <c r="AD76" s="7">
        <f t="shared" si="5"/>
        <v>65</v>
      </c>
      <c r="AE76" s="7">
        <f t="shared" si="6"/>
        <v>4</v>
      </c>
      <c r="AF76" s="10">
        <f t="shared" si="7"/>
        <v>4</v>
      </c>
    </row>
    <row r="77" spans="1:32" x14ac:dyDescent="0.3">
      <c r="A77" s="11">
        <v>5846</v>
      </c>
      <c r="B77" s="12">
        <v>1977</v>
      </c>
      <c r="C77" s="12" t="s">
        <v>32</v>
      </c>
      <c r="D77" s="12" t="s">
        <v>38</v>
      </c>
      <c r="E77" s="13">
        <v>40246</v>
      </c>
      <c r="F77" s="12">
        <v>1</v>
      </c>
      <c r="G77" s="12">
        <v>0</v>
      </c>
      <c r="H77" s="14">
        <v>41262</v>
      </c>
      <c r="I77" s="12">
        <v>68</v>
      </c>
      <c r="J77" s="12">
        <v>2</v>
      </c>
      <c r="K77" s="12">
        <v>1</v>
      </c>
      <c r="L77" s="12">
        <v>6</v>
      </c>
      <c r="M77" s="12">
        <v>2</v>
      </c>
      <c r="N77" s="12">
        <v>1</v>
      </c>
      <c r="O77" s="12">
        <v>1</v>
      </c>
      <c r="P77" s="12">
        <v>1</v>
      </c>
      <c r="Q77" s="12">
        <v>1</v>
      </c>
      <c r="R77" s="12">
        <v>0</v>
      </c>
      <c r="S77" s="12">
        <v>2</v>
      </c>
      <c r="T77" s="12">
        <v>6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f t="shared" ca="1" si="4"/>
        <v>49</v>
      </c>
      <c r="AC77" s="12">
        <f>[1]!Table1[[#This Row],[Kidhome]]+[1]!Table1[[#This Row],[Teenhome]]</f>
        <v>1</v>
      </c>
      <c r="AD77" s="12">
        <f t="shared" si="5"/>
        <v>13</v>
      </c>
      <c r="AE77" s="12">
        <f t="shared" si="6"/>
        <v>2</v>
      </c>
      <c r="AF77" s="15">
        <f t="shared" si="7"/>
        <v>2</v>
      </c>
    </row>
    <row r="78" spans="1:32" x14ac:dyDescent="0.3">
      <c r="A78" s="6">
        <v>1859</v>
      </c>
      <c r="B78" s="7">
        <v>1972</v>
      </c>
      <c r="C78" s="7" t="s">
        <v>37</v>
      </c>
      <c r="D78" s="7" t="s">
        <v>36</v>
      </c>
      <c r="E78" s="8">
        <v>75251</v>
      </c>
      <c r="F78" s="7">
        <v>0</v>
      </c>
      <c r="G78" s="7">
        <v>0</v>
      </c>
      <c r="H78" s="9">
        <v>41148</v>
      </c>
      <c r="I78" s="7">
        <v>34</v>
      </c>
      <c r="J78" s="7">
        <v>721</v>
      </c>
      <c r="K78" s="7">
        <v>111</v>
      </c>
      <c r="L78" s="7">
        <v>925</v>
      </c>
      <c r="M78" s="7">
        <v>97</v>
      </c>
      <c r="N78" s="7">
        <v>18</v>
      </c>
      <c r="O78" s="7">
        <v>18</v>
      </c>
      <c r="P78" s="7">
        <v>1</v>
      </c>
      <c r="Q78" s="7">
        <v>7</v>
      </c>
      <c r="R78" s="7">
        <v>6</v>
      </c>
      <c r="S78" s="7">
        <v>5</v>
      </c>
      <c r="T78" s="7">
        <v>5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1</v>
      </c>
      <c r="AB78" s="7">
        <f t="shared" ca="1" si="4"/>
        <v>54</v>
      </c>
      <c r="AC78" s="7">
        <f>[1]!Table1[[#This Row],[Kidhome]]+[1]!Table1[[#This Row],[Teenhome]]</f>
        <v>0</v>
      </c>
      <c r="AD78" s="7">
        <f t="shared" si="5"/>
        <v>1890</v>
      </c>
      <c r="AE78" s="7">
        <f t="shared" si="6"/>
        <v>14</v>
      </c>
      <c r="AF78" s="10">
        <f t="shared" si="7"/>
        <v>14</v>
      </c>
    </row>
    <row r="79" spans="1:32" x14ac:dyDescent="0.3">
      <c r="A79" s="11">
        <v>7503</v>
      </c>
      <c r="B79" s="12">
        <v>1976</v>
      </c>
      <c r="C79" s="12" t="s">
        <v>32</v>
      </c>
      <c r="D79" s="12" t="s">
        <v>33</v>
      </c>
      <c r="E79" s="13">
        <v>75825</v>
      </c>
      <c r="F79" s="12">
        <v>0</v>
      </c>
      <c r="G79" s="12">
        <v>0</v>
      </c>
      <c r="H79" s="14">
        <v>41194</v>
      </c>
      <c r="I79" s="12">
        <v>40</v>
      </c>
      <c r="J79" s="12">
        <v>1032</v>
      </c>
      <c r="K79" s="12">
        <v>105</v>
      </c>
      <c r="L79" s="12">
        <v>779</v>
      </c>
      <c r="M79" s="12">
        <v>137</v>
      </c>
      <c r="N79" s="12">
        <v>105</v>
      </c>
      <c r="O79" s="12">
        <v>51</v>
      </c>
      <c r="P79" s="12">
        <v>0</v>
      </c>
      <c r="Q79" s="12">
        <v>5</v>
      </c>
      <c r="R79" s="12">
        <v>8</v>
      </c>
      <c r="S79" s="12">
        <v>9</v>
      </c>
      <c r="T79" s="12">
        <v>4</v>
      </c>
      <c r="U79" s="12">
        <v>1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1</v>
      </c>
      <c r="AB79" s="12">
        <f t="shared" ca="1" si="4"/>
        <v>50</v>
      </c>
      <c r="AC79" s="12">
        <f>[1]!Table1[[#This Row],[Kidhome]]+[1]!Table1[[#This Row],[Teenhome]]</f>
        <v>0</v>
      </c>
      <c r="AD79" s="12">
        <f t="shared" si="5"/>
        <v>2209</v>
      </c>
      <c r="AE79" s="12">
        <f t="shared" si="6"/>
        <v>13</v>
      </c>
      <c r="AF79" s="15">
        <f t="shared" si="7"/>
        <v>13</v>
      </c>
    </row>
    <row r="80" spans="1:32" x14ac:dyDescent="0.3">
      <c r="A80" s="6">
        <v>10401</v>
      </c>
      <c r="B80" s="7">
        <v>1976</v>
      </c>
      <c r="C80" s="7" t="s">
        <v>40</v>
      </c>
      <c r="D80" s="7" t="s">
        <v>34</v>
      </c>
      <c r="E80" s="8">
        <v>26326</v>
      </c>
      <c r="F80" s="7">
        <v>0</v>
      </c>
      <c r="G80" s="7">
        <v>0</v>
      </c>
      <c r="H80" s="9">
        <v>41521</v>
      </c>
      <c r="I80" s="7">
        <v>12</v>
      </c>
      <c r="J80" s="7">
        <v>1</v>
      </c>
      <c r="K80" s="7">
        <v>0</v>
      </c>
      <c r="L80" s="7">
        <v>5</v>
      </c>
      <c r="M80" s="7">
        <v>0</v>
      </c>
      <c r="N80" s="7">
        <v>3</v>
      </c>
      <c r="O80" s="7">
        <v>9</v>
      </c>
      <c r="P80" s="7">
        <v>1</v>
      </c>
      <c r="Q80" s="7">
        <v>0</v>
      </c>
      <c r="R80" s="7">
        <v>0</v>
      </c>
      <c r="S80" s="7">
        <v>3</v>
      </c>
      <c r="T80" s="7">
        <v>3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1</v>
      </c>
      <c r="AA80" s="7">
        <v>0</v>
      </c>
      <c r="AB80" s="7">
        <f t="shared" ca="1" si="4"/>
        <v>50</v>
      </c>
      <c r="AC80" s="7">
        <f>[1]!Table1[[#This Row],[Kidhome]]+[1]!Table1[[#This Row],[Teenhome]]</f>
        <v>0</v>
      </c>
      <c r="AD80" s="7">
        <f t="shared" si="5"/>
        <v>18</v>
      </c>
      <c r="AE80" s="7">
        <f t="shared" si="6"/>
        <v>1</v>
      </c>
      <c r="AF80" s="10">
        <f t="shared" si="7"/>
        <v>1</v>
      </c>
    </row>
    <row r="81" spans="1:32" x14ac:dyDescent="0.3">
      <c r="A81" s="11">
        <v>1618</v>
      </c>
      <c r="B81" s="12">
        <v>1965</v>
      </c>
      <c r="C81" s="12" t="s">
        <v>32</v>
      </c>
      <c r="D81" s="12" t="s">
        <v>34</v>
      </c>
      <c r="E81" s="13">
        <v>56046</v>
      </c>
      <c r="F81" s="12">
        <v>0</v>
      </c>
      <c r="G81" s="12">
        <v>0</v>
      </c>
      <c r="H81" s="14">
        <v>41276</v>
      </c>
      <c r="I81" s="12">
        <v>9</v>
      </c>
      <c r="J81" s="12">
        <v>577</v>
      </c>
      <c r="K81" s="12">
        <v>0</v>
      </c>
      <c r="L81" s="12">
        <v>64</v>
      </c>
      <c r="M81" s="12">
        <v>0</v>
      </c>
      <c r="N81" s="12">
        <v>0</v>
      </c>
      <c r="O81" s="12">
        <v>51</v>
      </c>
      <c r="P81" s="12">
        <v>2</v>
      </c>
      <c r="Q81" s="12">
        <v>10</v>
      </c>
      <c r="R81" s="12">
        <v>1</v>
      </c>
      <c r="S81" s="12">
        <v>8</v>
      </c>
      <c r="T81" s="12">
        <v>8</v>
      </c>
      <c r="U81" s="12">
        <v>1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1</v>
      </c>
      <c r="AB81" s="12">
        <f t="shared" ca="1" si="4"/>
        <v>61</v>
      </c>
      <c r="AC81" s="12">
        <f>[1]!Table1[[#This Row],[Kidhome]]+[1]!Table1[[#This Row],[Teenhome]]</f>
        <v>0</v>
      </c>
      <c r="AD81" s="12">
        <f t="shared" si="5"/>
        <v>692</v>
      </c>
      <c r="AE81" s="12">
        <f t="shared" si="6"/>
        <v>13</v>
      </c>
      <c r="AF81" s="15">
        <f t="shared" si="7"/>
        <v>13</v>
      </c>
    </row>
    <row r="82" spans="1:32" x14ac:dyDescent="0.3">
      <c r="A82" s="6">
        <v>3332</v>
      </c>
      <c r="B82" s="7">
        <v>1985</v>
      </c>
      <c r="C82" s="7" t="s">
        <v>32</v>
      </c>
      <c r="D82" s="7" t="s">
        <v>33</v>
      </c>
      <c r="E82" s="8">
        <v>29760</v>
      </c>
      <c r="F82" s="7">
        <v>1</v>
      </c>
      <c r="G82" s="7">
        <v>0</v>
      </c>
      <c r="H82" s="9">
        <v>41150</v>
      </c>
      <c r="I82" s="7">
        <v>87</v>
      </c>
      <c r="J82" s="7">
        <v>64</v>
      </c>
      <c r="K82" s="7">
        <v>4</v>
      </c>
      <c r="L82" s="7">
        <v>68</v>
      </c>
      <c r="M82" s="7">
        <v>7</v>
      </c>
      <c r="N82" s="7">
        <v>5</v>
      </c>
      <c r="O82" s="7">
        <v>17</v>
      </c>
      <c r="P82" s="7">
        <v>4</v>
      </c>
      <c r="Q82" s="7">
        <v>3</v>
      </c>
      <c r="R82" s="7">
        <v>1</v>
      </c>
      <c r="S82" s="7">
        <v>4</v>
      </c>
      <c r="T82" s="7">
        <v>8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f t="shared" ca="1" si="4"/>
        <v>41</v>
      </c>
      <c r="AC82" s="7">
        <f>[1]!Table1[[#This Row],[Kidhome]]+[1]!Table1[[#This Row],[Teenhome]]</f>
        <v>1</v>
      </c>
      <c r="AD82" s="7">
        <f t="shared" si="5"/>
        <v>165</v>
      </c>
      <c r="AE82" s="7">
        <f t="shared" si="6"/>
        <v>8</v>
      </c>
      <c r="AF82" s="10">
        <f t="shared" si="7"/>
        <v>8</v>
      </c>
    </row>
    <row r="83" spans="1:32" x14ac:dyDescent="0.3">
      <c r="A83" s="11">
        <v>2261</v>
      </c>
      <c r="B83" s="12">
        <v>1969</v>
      </c>
      <c r="C83" s="12" t="s">
        <v>32</v>
      </c>
      <c r="D83" s="12" t="s">
        <v>36</v>
      </c>
      <c r="E83" s="13">
        <v>26304</v>
      </c>
      <c r="F83" s="12">
        <v>1</v>
      </c>
      <c r="G83" s="12">
        <v>0</v>
      </c>
      <c r="H83" s="14">
        <v>41448</v>
      </c>
      <c r="I83" s="12">
        <v>5</v>
      </c>
      <c r="J83" s="12">
        <v>4</v>
      </c>
      <c r="K83" s="12">
        <v>1</v>
      </c>
      <c r="L83" s="12">
        <v>5</v>
      </c>
      <c r="M83" s="12">
        <v>2</v>
      </c>
      <c r="N83" s="12">
        <v>0</v>
      </c>
      <c r="O83" s="12">
        <v>4</v>
      </c>
      <c r="P83" s="12">
        <v>1</v>
      </c>
      <c r="Q83" s="12">
        <v>1</v>
      </c>
      <c r="R83" s="12">
        <v>0</v>
      </c>
      <c r="S83" s="12">
        <v>2</v>
      </c>
      <c r="T83" s="12">
        <v>7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f t="shared" ca="1" si="4"/>
        <v>57</v>
      </c>
      <c r="AC83" s="12">
        <f>[1]!Table1[[#This Row],[Kidhome]]+[1]!Table1[[#This Row],[Teenhome]]</f>
        <v>1</v>
      </c>
      <c r="AD83" s="12">
        <f t="shared" si="5"/>
        <v>16</v>
      </c>
      <c r="AE83" s="12">
        <f t="shared" si="6"/>
        <v>2</v>
      </c>
      <c r="AF83" s="15">
        <f t="shared" si="7"/>
        <v>2</v>
      </c>
    </row>
    <row r="84" spans="1:32" x14ac:dyDescent="0.3">
      <c r="A84" s="6">
        <v>5346</v>
      </c>
      <c r="B84" s="7">
        <v>1973</v>
      </c>
      <c r="C84" s="7" t="s">
        <v>40</v>
      </c>
      <c r="D84" s="7" t="s">
        <v>36</v>
      </c>
      <c r="E84" s="8">
        <v>23559</v>
      </c>
      <c r="F84" s="7">
        <v>1</v>
      </c>
      <c r="G84" s="7">
        <v>0</v>
      </c>
      <c r="H84" s="9">
        <v>41458</v>
      </c>
      <c r="I84" s="7">
        <v>87</v>
      </c>
      <c r="J84" s="7">
        <v>25</v>
      </c>
      <c r="K84" s="7">
        <v>5</v>
      </c>
      <c r="L84" s="7">
        <v>19</v>
      </c>
      <c r="M84" s="7">
        <v>7</v>
      </c>
      <c r="N84" s="7">
        <v>0</v>
      </c>
      <c r="O84" s="7">
        <v>23</v>
      </c>
      <c r="P84" s="7">
        <v>3</v>
      </c>
      <c r="Q84" s="7">
        <v>3</v>
      </c>
      <c r="R84" s="7">
        <v>0</v>
      </c>
      <c r="S84" s="7">
        <v>3</v>
      </c>
      <c r="T84" s="7">
        <v>7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f t="shared" ca="1" si="4"/>
        <v>53</v>
      </c>
      <c r="AC84" s="7">
        <f>[1]!Table1[[#This Row],[Kidhome]]+[1]!Table1[[#This Row],[Teenhome]]</f>
        <v>1</v>
      </c>
      <c r="AD84" s="7">
        <f t="shared" si="5"/>
        <v>79</v>
      </c>
      <c r="AE84" s="7">
        <f t="shared" si="6"/>
        <v>6</v>
      </c>
      <c r="AF84" s="10">
        <f t="shared" si="7"/>
        <v>6</v>
      </c>
    </row>
    <row r="85" spans="1:32" x14ac:dyDescent="0.3">
      <c r="A85" s="11">
        <v>4119</v>
      </c>
      <c r="B85" s="12">
        <v>1963</v>
      </c>
      <c r="C85" s="12" t="s">
        <v>37</v>
      </c>
      <c r="D85" s="12" t="s">
        <v>34</v>
      </c>
      <c r="E85" s="13">
        <v>38620</v>
      </c>
      <c r="F85" s="12">
        <v>0</v>
      </c>
      <c r="G85" s="12">
        <v>0</v>
      </c>
      <c r="H85" s="14">
        <v>41405</v>
      </c>
      <c r="I85" s="12">
        <v>56</v>
      </c>
      <c r="J85" s="12">
        <v>112</v>
      </c>
      <c r="K85" s="12">
        <v>17</v>
      </c>
      <c r="L85" s="12">
        <v>44</v>
      </c>
      <c r="M85" s="12">
        <v>34</v>
      </c>
      <c r="N85" s="12">
        <v>22</v>
      </c>
      <c r="O85" s="12">
        <v>89</v>
      </c>
      <c r="P85" s="12">
        <v>1</v>
      </c>
      <c r="Q85" s="12">
        <v>2</v>
      </c>
      <c r="R85" s="12">
        <v>5</v>
      </c>
      <c r="S85" s="12">
        <v>3</v>
      </c>
      <c r="T85" s="12">
        <v>3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f t="shared" ca="1" si="4"/>
        <v>63</v>
      </c>
      <c r="AC85" s="12">
        <f>[1]!Table1[[#This Row],[Kidhome]]+[1]!Table1[[#This Row],[Teenhome]]</f>
        <v>0</v>
      </c>
      <c r="AD85" s="12">
        <f t="shared" si="5"/>
        <v>318</v>
      </c>
      <c r="AE85" s="12">
        <f t="shared" si="6"/>
        <v>8</v>
      </c>
      <c r="AF85" s="15">
        <f t="shared" si="7"/>
        <v>8</v>
      </c>
    </row>
    <row r="86" spans="1:32" x14ac:dyDescent="0.3">
      <c r="A86" s="6">
        <v>535</v>
      </c>
      <c r="B86" s="7">
        <v>1987</v>
      </c>
      <c r="C86" s="7" t="s">
        <v>32</v>
      </c>
      <c r="D86" s="7" t="s">
        <v>38</v>
      </c>
      <c r="E86" s="8">
        <v>81361</v>
      </c>
      <c r="F86" s="7">
        <v>0</v>
      </c>
      <c r="G86" s="7">
        <v>0</v>
      </c>
      <c r="H86" s="9">
        <v>41695</v>
      </c>
      <c r="I86" s="7">
        <v>18</v>
      </c>
      <c r="J86" s="7">
        <v>163</v>
      </c>
      <c r="K86" s="7">
        <v>23</v>
      </c>
      <c r="L86" s="7">
        <v>424</v>
      </c>
      <c r="M86" s="7">
        <v>27</v>
      </c>
      <c r="N86" s="7">
        <v>65</v>
      </c>
      <c r="O86" s="7">
        <v>76</v>
      </c>
      <c r="P86" s="7">
        <v>1</v>
      </c>
      <c r="Q86" s="7">
        <v>3</v>
      </c>
      <c r="R86" s="7">
        <v>10</v>
      </c>
      <c r="S86" s="7">
        <v>13</v>
      </c>
      <c r="T86" s="7">
        <v>1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f t="shared" ca="1" si="4"/>
        <v>39</v>
      </c>
      <c r="AC86" s="7">
        <f>[1]!Table1[[#This Row],[Kidhome]]+[1]!Table1[[#This Row],[Teenhome]]</f>
        <v>0</v>
      </c>
      <c r="AD86" s="7">
        <f t="shared" si="5"/>
        <v>778</v>
      </c>
      <c r="AE86" s="7">
        <f t="shared" si="6"/>
        <v>14</v>
      </c>
      <c r="AF86" s="10">
        <f t="shared" si="7"/>
        <v>14</v>
      </c>
    </row>
    <row r="87" spans="1:32" x14ac:dyDescent="0.3">
      <c r="A87" s="11">
        <v>5268</v>
      </c>
      <c r="B87" s="12">
        <v>1960</v>
      </c>
      <c r="C87" s="12" t="s">
        <v>32</v>
      </c>
      <c r="D87" s="12" t="s">
        <v>36</v>
      </c>
      <c r="E87" s="13">
        <v>29440</v>
      </c>
      <c r="F87" s="12">
        <v>1</v>
      </c>
      <c r="G87" s="12">
        <v>1</v>
      </c>
      <c r="H87" s="14">
        <v>41497</v>
      </c>
      <c r="I87" s="12">
        <v>95</v>
      </c>
      <c r="J87" s="12">
        <v>17</v>
      </c>
      <c r="K87" s="12">
        <v>8</v>
      </c>
      <c r="L87" s="12">
        <v>14</v>
      </c>
      <c r="M87" s="12">
        <v>10</v>
      </c>
      <c r="N87" s="12">
        <v>4</v>
      </c>
      <c r="O87" s="12">
        <v>3</v>
      </c>
      <c r="P87" s="12">
        <v>2</v>
      </c>
      <c r="Q87" s="12">
        <v>1</v>
      </c>
      <c r="R87" s="12">
        <v>0</v>
      </c>
      <c r="S87" s="12">
        <v>4</v>
      </c>
      <c r="T87" s="12">
        <v>7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f t="shared" ca="1" si="4"/>
        <v>66</v>
      </c>
      <c r="AC87" s="12">
        <f>[1]!Table1[[#This Row],[Kidhome]]+[1]!Table1[[#This Row],[Teenhome]]</f>
        <v>2</v>
      </c>
      <c r="AD87" s="12">
        <f t="shared" si="5"/>
        <v>56</v>
      </c>
      <c r="AE87" s="12">
        <f t="shared" si="6"/>
        <v>3</v>
      </c>
      <c r="AF87" s="15">
        <f t="shared" si="7"/>
        <v>3</v>
      </c>
    </row>
    <row r="88" spans="1:32" x14ac:dyDescent="0.3">
      <c r="A88" s="6">
        <v>273</v>
      </c>
      <c r="B88" s="7">
        <v>1970</v>
      </c>
      <c r="C88" s="7" t="s">
        <v>37</v>
      </c>
      <c r="D88" s="7" t="s">
        <v>36</v>
      </c>
      <c r="E88" s="8">
        <v>36138</v>
      </c>
      <c r="F88" s="7">
        <v>1</v>
      </c>
      <c r="G88" s="7">
        <v>1</v>
      </c>
      <c r="H88" s="9">
        <v>41471</v>
      </c>
      <c r="I88" s="7">
        <v>48</v>
      </c>
      <c r="J88" s="7">
        <v>130</v>
      </c>
      <c r="K88" s="7">
        <v>0</v>
      </c>
      <c r="L88" s="7">
        <v>16</v>
      </c>
      <c r="M88" s="7">
        <v>0</v>
      </c>
      <c r="N88" s="7">
        <v>0</v>
      </c>
      <c r="O88" s="7">
        <v>5</v>
      </c>
      <c r="P88" s="7">
        <v>5</v>
      </c>
      <c r="Q88" s="7">
        <v>3</v>
      </c>
      <c r="R88" s="7">
        <v>1</v>
      </c>
      <c r="S88" s="7">
        <v>4</v>
      </c>
      <c r="T88" s="7">
        <v>7</v>
      </c>
      <c r="U88" s="7">
        <v>0</v>
      </c>
      <c r="V88" s="7">
        <v>1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f t="shared" ca="1" si="4"/>
        <v>56</v>
      </c>
      <c r="AC88" s="7">
        <f>[1]!Table1[[#This Row],[Kidhome]]+[1]!Table1[[#This Row],[Teenhome]]</f>
        <v>2</v>
      </c>
      <c r="AD88" s="7">
        <f t="shared" si="5"/>
        <v>151</v>
      </c>
      <c r="AE88" s="7">
        <f t="shared" si="6"/>
        <v>9</v>
      </c>
      <c r="AF88" s="10">
        <f t="shared" si="7"/>
        <v>9</v>
      </c>
    </row>
    <row r="89" spans="1:32" x14ac:dyDescent="0.3">
      <c r="A89" s="11">
        <v>4452</v>
      </c>
      <c r="B89" s="12">
        <v>1957</v>
      </c>
      <c r="C89" s="12" t="s">
        <v>32</v>
      </c>
      <c r="D89" s="12" t="s">
        <v>33</v>
      </c>
      <c r="E89" s="13">
        <v>50388</v>
      </c>
      <c r="F89" s="12">
        <v>0</v>
      </c>
      <c r="G89" s="12">
        <v>1</v>
      </c>
      <c r="H89" s="14">
        <v>41787</v>
      </c>
      <c r="I89" s="12">
        <v>3</v>
      </c>
      <c r="J89" s="12">
        <v>292</v>
      </c>
      <c r="K89" s="12">
        <v>6</v>
      </c>
      <c r="L89" s="12">
        <v>37</v>
      </c>
      <c r="M89" s="12">
        <v>0</v>
      </c>
      <c r="N89" s="12">
        <v>3</v>
      </c>
      <c r="O89" s="12">
        <v>34</v>
      </c>
      <c r="P89" s="12">
        <v>4</v>
      </c>
      <c r="Q89" s="12">
        <v>6</v>
      </c>
      <c r="R89" s="12">
        <v>1</v>
      </c>
      <c r="S89" s="12">
        <v>6</v>
      </c>
      <c r="T89" s="12">
        <v>7</v>
      </c>
      <c r="U89" s="12">
        <v>0</v>
      </c>
      <c r="V89" s="12">
        <v>1</v>
      </c>
      <c r="W89" s="12">
        <v>0</v>
      </c>
      <c r="X89" s="12">
        <v>1</v>
      </c>
      <c r="Y89" s="12">
        <v>0</v>
      </c>
      <c r="Z89" s="12">
        <v>0</v>
      </c>
      <c r="AA89" s="12">
        <v>1</v>
      </c>
      <c r="AB89" s="12">
        <f t="shared" ca="1" si="4"/>
        <v>69</v>
      </c>
      <c r="AC89" s="12">
        <f>[1]!Table1[[#This Row],[Kidhome]]+[1]!Table1[[#This Row],[Teenhome]]</f>
        <v>1</v>
      </c>
      <c r="AD89" s="12">
        <f t="shared" si="5"/>
        <v>372</v>
      </c>
      <c r="AE89" s="12">
        <f t="shared" si="6"/>
        <v>11</v>
      </c>
      <c r="AF89" s="15">
        <f t="shared" si="7"/>
        <v>11</v>
      </c>
    </row>
    <row r="90" spans="1:32" x14ac:dyDescent="0.3">
      <c r="A90" s="6">
        <v>8504</v>
      </c>
      <c r="B90" s="7">
        <v>1973</v>
      </c>
      <c r="C90" s="7" t="s">
        <v>32</v>
      </c>
      <c r="D90" s="7" t="s">
        <v>36</v>
      </c>
      <c r="E90" s="8">
        <v>79593</v>
      </c>
      <c r="F90" s="7">
        <v>0</v>
      </c>
      <c r="G90" s="7">
        <v>0</v>
      </c>
      <c r="H90" s="9">
        <v>41771</v>
      </c>
      <c r="I90" s="7">
        <v>70</v>
      </c>
      <c r="J90" s="7">
        <v>350</v>
      </c>
      <c r="K90" s="7">
        <v>60</v>
      </c>
      <c r="L90" s="7">
        <v>568</v>
      </c>
      <c r="M90" s="7">
        <v>110</v>
      </c>
      <c r="N90" s="7">
        <v>133</v>
      </c>
      <c r="O90" s="7">
        <v>145</v>
      </c>
      <c r="P90" s="7">
        <v>1</v>
      </c>
      <c r="Q90" s="7">
        <v>5</v>
      </c>
      <c r="R90" s="7">
        <v>6</v>
      </c>
      <c r="S90" s="7">
        <v>7</v>
      </c>
      <c r="T90" s="7">
        <v>2</v>
      </c>
      <c r="U90" s="7">
        <v>0</v>
      </c>
      <c r="V90" s="7">
        <v>0</v>
      </c>
      <c r="W90" s="7">
        <v>1</v>
      </c>
      <c r="X90" s="7">
        <v>0</v>
      </c>
      <c r="Y90" s="7">
        <v>0</v>
      </c>
      <c r="Z90" s="7">
        <v>0</v>
      </c>
      <c r="AA90" s="7">
        <v>0</v>
      </c>
      <c r="AB90" s="7">
        <f t="shared" ca="1" si="4"/>
        <v>53</v>
      </c>
      <c r="AC90" s="7">
        <f>[1]!Table1[[#This Row],[Kidhome]]+[1]!Table1[[#This Row],[Teenhome]]</f>
        <v>0</v>
      </c>
      <c r="AD90" s="7">
        <f t="shared" si="5"/>
        <v>1366</v>
      </c>
      <c r="AE90" s="7">
        <f t="shared" si="6"/>
        <v>12</v>
      </c>
      <c r="AF90" s="10">
        <f t="shared" si="7"/>
        <v>12</v>
      </c>
    </row>
    <row r="91" spans="1:32" x14ac:dyDescent="0.3">
      <c r="A91" s="11">
        <v>771</v>
      </c>
      <c r="B91" s="12">
        <v>1967</v>
      </c>
      <c r="C91" s="12" t="s">
        <v>32</v>
      </c>
      <c r="D91" s="12" t="s">
        <v>34</v>
      </c>
      <c r="E91" s="13">
        <v>54178</v>
      </c>
      <c r="F91" s="12">
        <v>0</v>
      </c>
      <c r="G91" s="12">
        <v>1</v>
      </c>
      <c r="H91" s="14">
        <v>41660</v>
      </c>
      <c r="I91" s="12">
        <v>79</v>
      </c>
      <c r="J91" s="12">
        <v>135</v>
      </c>
      <c r="K91" s="12">
        <v>9</v>
      </c>
      <c r="L91" s="12">
        <v>39</v>
      </c>
      <c r="M91" s="12">
        <v>4</v>
      </c>
      <c r="N91" s="12">
        <v>0</v>
      </c>
      <c r="O91" s="12">
        <v>7</v>
      </c>
      <c r="P91" s="12">
        <v>1</v>
      </c>
      <c r="Q91" s="12">
        <v>2</v>
      </c>
      <c r="R91" s="12">
        <v>2</v>
      </c>
      <c r="S91" s="12">
        <v>5</v>
      </c>
      <c r="T91" s="12">
        <v>2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f t="shared" ca="1" si="4"/>
        <v>59</v>
      </c>
      <c r="AC91" s="12">
        <f>[1]!Table1[[#This Row],[Kidhome]]+[1]!Table1[[#This Row],[Teenhome]]</f>
        <v>1</v>
      </c>
      <c r="AD91" s="12">
        <f t="shared" si="5"/>
        <v>194</v>
      </c>
      <c r="AE91" s="12">
        <f t="shared" si="6"/>
        <v>5</v>
      </c>
      <c r="AF91" s="15">
        <f t="shared" si="7"/>
        <v>5</v>
      </c>
    </row>
    <row r="92" spans="1:32" x14ac:dyDescent="0.3">
      <c r="A92" s="6">
        <v>8996</v>
      </c>
      <c r="B92" s="7">
        <v>1957</v>
      </c>
      <c r="C92" s="7" t="s">
        <v>35</v>
      </c>
      <c r="D92" s="7" t="s">
        <v>36</v>
      </c>
      <c r="E92" s="8">
        <v>58138</v>
      </c>
      <c r="F92" s="7">
        <v>2</v>
      </c>
      <c r="G92" s="7">
        <v>1</v>
      </c>
      <c r="H92" s="9">
        <v>41232</v>
      </c>
      <c r="I92" s="7">
        <v>4</v>
      </c>
      <c r="J92" s="7">
        <v>230</v>
      </c>
      <c r="K92" s="7">
        <v>42</v>
      </c>
      <c r="L92" s="7">
        <v>192</v>
      </c>
      <c r="M92" s="7">
        <v>49</v>
      </c>
      <c r="N92" s="7">
        <v>37</v>
      </c>
      <c r="O92" s="7">
        <v>53</v>
      </c>
      <c r="P92" s="7">
        <v>12</v>
      </c>
      <c r="Q92" s="7">
        <v>7</v>
      </c>
      <c r="R92" s="7">
        <v>2</v>
      </c>
      <c r="S92" s="7">
        <v>8</v>
      </c>
      <c r="T92" s="7">
        <v>9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f t="shared" ca="1" si="4"/>
        <v>69</v>
      </c>
      <c r="AC92" s="7">
        <f>[1]!Table1[[#This Row],[Kidhome]]+[1]!Table1[[#This Row],[Teenhome]]</f>
        <v>3</v>
      </c>
      <c r="AD92" s="7">
        <f t="shared" si="5"/>
        <v>603</v>
      </c>
      <c r="AE92" s="7">
        <f t="shared" si="6"/>
        <v>21</v>
      </c>
      <c r="AF92" s="10">
        <f t="shared" si="7"/>
        <v>21</v>
      </c>
    </row>
    <row r="93" spans="1:32" x14ac:dyDescent="0.3">
      <c r="A93" s="11">
        <v>9235</v>
      </c>
      <c r="B93" s="12">
        <v>1957</v>
      </c>
      <c r="C93" s="12" t="s">
        <v>32</v>
      </c>
      <c r="D93" s="12" t="s">
        <v>33</v>
      </c>
      <c r="E93" s="13">
        <v>58138</v>
      </c>
      <c r="F93" s="12">
        <v>1</v>
      </c>
      <c r="G93" s="12">
        <v>1</v>
      </c>
      <c r="H93" s="14">
        <v>41786</v>
      </c>
      <c r="I93" s="12">
        <v>45</v>
      </c>
      <c r="J93" s="12">
        <v>7</v>
      </c>
      <c r="K93" s="12">
        <v>0</v>
      </c>
      <c r="L93" s="12">
        <v>8</v>
      </c>
      <c r="M93" s="12">
        <v>2</v>
      </c>
      <c r="N93" s="12">
        <v>0</v>
      </c>
      <c r="O93" s="12">
        <v>1</v>
      </c>
      <c r="P93" s="12">
        <v>1</v>
      </c>
      <c r="Q93" s="12">
        <v>1</v>
      </c>
      <c r="R93" s="12">
        <v>0</v>
      </c>
      <c r="S93" s="12">
        <v>2</v>
      </c>
      <c r="T93" s="12">
        <v>7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f t="shared" ca="1" si="4"/>
        <v>69</v>
      </c>
      <c r="AC93" s="12">
        <f>[1]!Table1[[#This Row],[Kidhome]]+[1]!Table1[[#This Row],[Teenhome]]</f>
        <v>2</v>
      </c>
      <c r="AD93" s="12">
        <f t="shared" si="5"/>
        <v>18</v>
      </c>
      <c r="AE93" s="12">
        <f t="shared" si="6"/>
        <v>2</v>
      </c>
      <c r="AF93" s="15">
        <f t="shared" si="7"/>
        <v>2</v>
      </c>
    </row>
    <row r="94" spans="1:32" x14ac:dyDescent="0.3">
      <c r="A94" s="6">
        <v>5798</v>
      </c>
      <c r="B94" s="7">
        <v>1973</v>
      </c>
      <c r="C94" s="7" t="s">
        <v>37</v>
      </c>
      <c r="D94" s="7" t="s">
        <v>34</v>
      </c>
      <c r="E94" s="8">
        <v>58138</v>
      </c>
      <c r="F94" s="7">
        <v>0</v>
      </c>
      <c r="G94" s="7">
        <v>0</v>
      </c>
      <c r="H94" s="9">
        <v>41601</v>
      </c>
      <c r="I94" s="7">
        <v>87</v>
      </c>
      <c r="J94" s="7">
        <v>445</v>
      </c>
      <c r="K94" s="7">
        <v>37</v>
      </c>
      <c r="L94" s="7">
        <v>359</v>
      </c>
      <c r="M94" s="7">
        <v>98</v>
      </c>
      <c r="N94" s="7">
        <v>28</v>
      </c>
      <c r="O94" s="7">
        <v>18</v>
      </c>
      <c r="P94" s="7">
        <v>1</v>
      </c>
      <c r="Q94" s="7">
        <v>2</v>
      </c>
      <c r="R94" s="7">
        <v>4</v>
      </c>
      <c r="S94" s="7">
        <v>8</v>
      </c>
      <c r="T94" s="7">
        <v>1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f t="shared" ca="1" si="4"/>
        <v>53</v>
      </c>
      <c r="AC94" s="7">
        <f>[1]!Table1[[#This Row],[Kidhome]]+[1]!Table1[[#This Row],[Teenhome]]</f>
        <v>0</v>
      </c>
      <c r="AD94" s="7">
        <f t="shared" si="5"/>
        <v>985</v>
      </c>
      <c r="AE94" s="7">
        <f t="shared" si="6"/>
        <v>7</v>
      </c>
      <c r="AF94" s="10">
        <f t="shared" si="7"/>
        <v>7</v>
      </c>
    </row>
    <row r="95" spans="1:32" x14ac:dyDescent="0.3">
      <c r="A95" s="11">
        <v>11178</v>
      </c>
      <c r="B95" s="12">
        <v>1972</v>
      </c>
      <c r="C95" s="12" t="s">
        <v>37</v>
      </c>
      <c r="D95" s="12" t="s">
        <v>33</v>
      </c>
      <c r="E95" s="13">
        <v>42394</v>
      </c>
      <c r="F95" s="12">
        <v>1</v>
      </c>
      <c r="G95" s="12">
        <v>0</v>
      </c>
      <c r="H95" s="14">
        <v>41721</v>
      </c>
      <c r="I95" s="12">
        <v>69</v>
      </c>
      <c r="J95" s="12">
        <v>15</v>
      </c>
      <c r="K95" s="12">
        <v>2</v>
      </c>
      <c r="L95" s="12">
        <v>10</v>
      </c>
      <c r="M95" s="12">
        <v>0</v>
      </c>
      <c r="N95" s="12">
        <v>1</v>
      </c>
      <c r="O95" s="12">
        <v>4</v>
      </c>
      <c r="P95" s="12">
        <v>1</v>
      </c>
      <c r="Q95" s="12">
        <v>1</v>
      </c>
      <c r="R95" s="12">
        <v>0</v>
      </c>
      <c r="S95" s="12">
        <v>3</v>
      </c>
      <c r="T95" s="12">
        <v>7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f t="shared" ca="1" si="4"/>
        <v>54</v>
      </c>
      <c r="AC95" s="12">
        <f>[1]!Table1[[#This Row],[Kidhome]]+[1]!Table1[[#This Row],[Teenhome]]</f>
        <v>1</v>
      </c>
      <c r="AD95" s="12">
        <f t="shared" si="5"/>
        <v>32</v>
      </c>
      <c r="AE95" s="12">
        <f t="shared" si="6"/>
        <v>2</v>
      </c>
      <c r="AF95" s="15">
        <f t="shared" si="7"/>
        <v>2</v>
      </c>
    </row>
    <row r="96" spans="1:32" x14ac:dyDescent="0.3">
      <c r="A96" s="6">
        <v>2230</v>
      </c>
      <c r="B96" s="7">
        <v>1970</v>
      </c>
      <c r="C96" s="7" t="s">
        <v>35</v>
      </c>
      <c r="D96" s="7" t="s">
        <v>36</v>
      </c>
      <c r="E96" s="8">
        <v>23626</v>
      </c>
      <c r="F96" s="7">
        <v>1</v>
      </c>
      <c r="G96" s="7">
        <v>0</v>
      </c>
      <c r="H96" s="9">
        <v>41783</v>
      </c>
      <c r="I96" s="7">
        <v>84</v>
      </c>
      <c r="J96" s="7">
        <v>27</v>
      </c>
      <c r="K96" s="7">
        <v>2</v>
      </c>
      <c r="L96" s="7">
        <v>14</v>
      </c>
      <c r="M96" s="7">
        <v>0</v>
      </c>
      <c r="N96" s="7">
        <v>0</v>
      </c>
      <c r="O96" s="7">
        <v>0</v>
      </c>
      <c r="P96" s="7">
        <v>3</v>
      </c>
      <c r="Q96" s="7">
        <v>3</v>
      </c>
      <c r="R96" s="7">
        <v>1</v>
      </c>
      <c r="S96" s="7">
        <v>3</v>
      </c>
      <c r="T96" s="7">
        <v>5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f t="shared" ca="1" si="4"/>
        <v>56</v>
      </c>
      <c r="AC96" s="7">
        <f>[1]!Table1[[#This Row],[Kidhome]]+[1]!Table1[[#This Row],[Teenhome]]</f>
        <v>1</v>
      </c>
      <c r="AD96" s="7">
        <f t="shared" si="5"/>
        <v>43</v>
      </c>
      <c r="AE96" s="7">
        <f t="shared" si="6"/>
        <v>7</v>
      </c>
      <c r="AF96" s="10">
        <f t="shared" si="7"/>
        <v>7</v>
      </c>
    </row>
    <row r="97" spans="1:32" x14ac:dyDescent="0.3">
      <c r="A97" s="11">
        <v>7516</v>
      </c>
      <c r="B97" s="12">
        <v>1983</v>
      </c>
      <c r="C97" s="12" t="s">
        <v>32</v>
      </c>
      <c r="D97" s="12" t="s">
        <v>36</v>
      </c>
      <c r="E97" s="13">
        <v>30096</v>
      </c>
      <c r="F97" s="12">
        <v>1</v>
      </c>
      <c r="G97" s="12">
        <v>0</v>
      </c>
      <c r="H97" s="14">
        <v>41781</v>
      </c>
      <c r="I97" s="12">
        <v>30</v>
      </c>
      <c r="J97" s="12">
        <v>5</v>
      </c>
      <c r="K97" s="12">
        <v>3</v>
      </c>
      <c r="L97" s="12">
        <v>11</v>
      </c>
      <c r="M97" s="12">
        <v>12</v>
      </c>
      <c r="N97" s="12">
        <v>5</v>
      </c>
      <c r="O97" s="12">
        <v>9</v>
      </c>
      <c r="P97" s="12">
        <v>1</v>
      </c>
      <c r="Q97" s="12">
        <v>2</v>
      </c>
      <c r="R97" s="12">
        <v>0</v>
      </c>
      <c r="S97" s="12">
        <v>3</v>
      </c>
      <c r="T97" s="12">
        <v>6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f t="shared" ca="1" si="4"/>
        <v>43</v>
      </c>
      <c r="AC97" s="12">
        <f>[1]!Table1[[#This Row],[Kidhome]]+[1]!Table1[[#This Row],[Teenhome]]</f>
        <v>1</v>
      </c>
      <c r="AD97" s="12">
        <f t="shared" si="5"/>
        <v>45</v>
      </c>
      <c r="AE97" s="12">
        <f t="shared" si="6"/>
        <v>3</v>
      </c>
      <c r="AF97" s="15">
        <f t="shared" si="7"/>
        <v>3</v>
      </c>
    </row>
    <row r="98" spans="1:32" x14ac:dyDescent="0.3">
      <c r="A98" s="6">
        <v>7247</v>
      </c>
      <c r="B98" s="7">
        <v>1960</v>
      </c>
      <c r="C98" s="7" t="s">
        <v>32</v>
      </c>
      <c r="D98" s="7" t="s">
        <v>41</v>
      </c>
      <c r="E98" s="8">
        <v>47916</v>
      </c>
      <c r="F98" s="7">
        <v>0</v>
      </c>
      <c r="G98" s="7">
        <v>1</v>
      </c>
      <c r="H98" s="9">
        <v>41235</v>
      </c>
      <c r="I98" s="7">
        <v>72</v>
      </c>
      <c r="J98" s="7">
        <v>505</v>
      </c>
      <c r="K98" s="7">
        <v>0</v>
      </c>
      <c r="L98" s="7">
        <v>26</v>
      </c>
      <c r="M98" s="7">
        <v>0</v>
      </c>
      <c r="N98" s="7">
        <v>0</v>
      </c>
      <c r="O98" s="7">
        <v>75</v>
      </c>
      <c r="P98" s="7">
        <v>5</v>
      </c>
      <c r="Q98" s="7">
        <v>7</v>
      </c>
      <c r="R98" s="7">
        <v>4</v>
      </c>
      <c r="S98" s="7">
        <v>6</v>
      </c>
      <c r="T98" s="7">
        <v>6</v>
      </c>
      <c r="U98" s="7">
        <v>0</v>
      </c>
      <c r="V98" s="7">
        <v>1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f t="shared" ca="1" si="4"/>
        <v>66</v>
      </c>
      <c r="AC98" s="7">
        <f>[1]!Table1[[#This Row],[Kidhome]]+[1]!Table1[[#This Row],[Teenhome]]</f>
        <v>1</v>
      </c>
      <c r="AD98" s="7">
        <f t="shared" si="5"/>
        <v>606</v>
      </c>
      <c r="AE98" s="7">
        <f t="shared" si="6"/>
        <v>16</v>
      </c>
      <c r="AF98" s="10">
        <f t="shared" si="7"/>
        <v>16</v>
      </c>
    </row>
    <row r="99" spans="1:32" x14ac:dyDescent="0.3">
      <c r="A99" s="11">
        <v>11100</v>
      </c>
      <c r="B99" s="12">
        <v>1972</v>
      </c>
      <c r="C99" s="12" t="s">
        <v>32</v>
      </c>
      <c r="D99" s="12" t="s">
        <v>38</v>
      </c>
      <c r="E99" s="13">
        <v>51813</v>
      </c>
      <c r="F99" s="12">
        <v>1</v>
      </c>
      <c r="G99" s="12">
        <v>1</v>
      </c>
      <c r="H99" s="14">
        <v>41375</v>
      </c>
      <c r="I99" s="12">
        <v>37</v>
      </c>
      <c r="J99" s="12">
        <v>51</v>
      </c>
      <c r="K99" s="12">
        <v>2</v>
      </c>
      <c r="L99" s="12">
        <v>7</v>
      </c>
      <c r="M99" s="12">
        <v>0</v>
      </c>
      <c r="N99" s="12">
        <v>1</v>
      </c>
      <c r="O99" s="12">
        <v>2</v>
      </c>
      <c r="P99" s="12">
        <v>2</v>
      </c>
      <c r="Q99" s="12">
        <v>2</v>
      </c>
      <c r="R99" s="12">
        <v>0</v>
      </c>
      <c r="S99" s="12">
        <v>3</v>
      </c>
      <c r="T99" s="12">
        <v>7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f t="shared" ca="1" si="4"/>
        <v>54</v>
      </c>
      <c r="AC99" s="12">
        <f>[1]!Table1[[#This Row],[Kidhome]]+[1]!Table1[[#This Row],[Teenhome]]</f>
        <v>2</v>
      </c>
      <c r="AD99" s="12">
        <f t="shared" si="5"/>
        <v>63</v>
      </c>
      <c r="AE99" s="12">
        <f t="shared" si="6"/>
        <v>4</v>
      </c>
      <c r="AF99" s="15">
        <f t="shared" si="7"/>
        <v>4</v>
      </c>
    </row>
    <row r="100" spans="1:32" x14ac:dyDescent="0.3">
      <c r="A100" s="6">
        <v>4646</v>
      </c>
      <c r="B100" s="7">
        <v>1951</v>
      </c>
      <c r="C100" s="7" t="s">
        <v>40</v>
      </c>
      <c r="D100" s="7" t="s">
        <v>36</v>
      </c>
      <c r="E100" s="8">
        <v>78497</v>
      </c>
      <c r="F100" s="7">
        <v>0</v>
      </c>
      <c r="G100" s="7">
        <v>0</v>
      </c>
      <c r="H100" s="9">
        <v>41609</v>
      </c>
      <c r="I100" s="7">
        <v>44</v>
      </c>
      <c r="J100" s="7">
        <v>207</v>
      </c>
      <c r="K100" s="7">
        <v>26</v>
      </c>
      <c r="L100" s="7">
        <v>447</v>
      </c>
      <c r="M100" s="7">
        <v>75</v>
      </c>
      <c r="N100" s="7">
        <v>0</v>
      </c>
      <c r="O100" s="7">
        <v>223</v>
      </c>
      <c r="P100" s="7">
        <v>1</v>
      </c>
      <c r="Q100" s="7">
        <v>5</v>
      </c>
      <c r="R100" s="7">
        <v>7</v>
      </c>
      <c r="S100" s="7">
        <v>12</v>
      </c>
      <c r="T100" s="7">
        <v>2</v>
      </c>
      <c r="U100" s="7">
        <v>0</v>
      </c>
      <c r="V100" s="7">
        <v>0</v>
      </c>
      <c r="W100" s="7">
        <v>0</v>
      </c>
      <c r="X100" s="7">
        <v>1</v>
      </c>
      <c r="Y100" s="7">
        <v>0</v>
      </c>
      <c r="Z100" s="7">
        <v>0</v>
      </c>
      <c r="AA100" s="7">
        <v>0</v>
      </c>
      <c r="AB100" s="7">
        <f t="shared" ca="1" si="4"/>
        <v>75</v>
      </c>
      <c r="AC100" s="7">
        <f>[1]!Table1[[#This Row],[Kidhome]]+[1]!Table1[[#This Row],[Teenhome]]</f>
        <v>0</v>
      </c>
      <c r="AD100" s="7">
        <f t="shared" si="5"/>
        <v>978</v>
      </c>
      <c r="AE100" s="7">
        <f t="shared" si="6"/>
        <v>13</v>
      </c>
      <c r="AF100" s="10">
        <f t="shared" si="7"/>
        <v>13</v>
      </c>
    </row>
    <row r="101" spans="1:32" x14ac:dyDescent="0.3">
      <c r="A101" s="11">
        <v>3037</v>
      </c>
      <c r="B101" s="12">
        <v>1983</v>
      </c>
      <c r="C101" s="12" t="s">
        <v>35</v>
      </c>
      <c r="D101" s="12" t="s">
        <v>36</v>
      </c>
      <c r="E101" s="13">
        <v>50150</v>
      </c>
      <c r="F101" s="12">
        <v>0</v>
      </c>
      <c r="G101" s="12">
        <v>0</v>
      </c>
      <c r="H101" s="14">
        <v>41445</v>
      </c>
      <c r="I101" s="12">
        <v>32</v>
      </c>
      <c r="J101" s="12">
        <v>135</v>
      </c>
      <c r="K101" s="12">
        <v>46</v>
      </c>
      <c r="L101" s="12">
        <v>92</v>
      </c>
      <c r="M101" s="12">
        <v>65</v>
      </c>
      <c r="N101" s="12">
        <v>61</v>
      </c>
      <c r="O101" s="12">
        <v>11</v>
      </c>
      <c r="P101" s="12">
        <v>2</v>
      </c>
      <c r="Q101" s="12">
        <v>5</v>
      </c>
      <c r="R101" s="12">
        <v>2</v>
      </c>
      <c r="S101" s="12">
        <v>7</v>
      </c>
      <c r="T101" s="12">
        <v>5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f t="shared" ca="1" si="4"/>
        <v>43</v>
      </c>
      <c r="AC101" s="12">
        <f>[1]!Table1[[#This Row],[Kidhome]]+[1]!Table1[[#This Row],[Teenhome]]</f>
        <v>0</v>
      </c>
      <c r="AD101" s="12">
        <f t="shared" si="5"/>
        <v>410</v>
      </c>
      <c r="AE101" s="12">
        <f t="shared" si="6"/>
        <v>9</v>
      </c>
      <c r="AF101" s="15">
        <f t="shared" si="7"/>
        <v>9</v>
      </c>
    </row>
    <row r="102" spans="1:32" x14ac:dyDescent="0.3">
      <c r="A102" s="6">
        <v>1473</v>
      </c>
      <c r="B102" s="7">
        <v>1960</v>
      </c>
      <c r="C102" s="7" t="s">
        <v>40</v>
      </c>
      <c r="D102" s="7" t="s">
        <v>33</v>
      </c>
      <c r="E102" s="8">
        <v>47823</v>
      </c>
      <c r="F102" s="7">
        <v>0</v>
      </c>
      <c r="G102" s="7">
        <v>1</v>
      </c>
      <c r="H102" s="9">
        <v>41478</v>
      </c>
      <c r="I102" s="7">
        <v>0</v>
      </c>
      <c r="J102" s="7">
        <v>53</v>
      </c>
      <c r="K102" s="7">
        <v>1</v>
      </c>
      <c r="L102" s="7">
        <v>5</v>
      </c>
      <c r="M102" s="7">
        <v>2</v>
      </c>
      <c r="N102" s="7">
        <v>1</v>
      </c>
      <c r="O102" s="7">
        <v>10</v>
      </c>
      <c r="P102" s="7">
        <v>2</v>
      </c>
      <c r="Q102" s="7">
        <v>2</v>
      </c>
      <c r="R102" s="7">
        <v>0</v>
      </c>
      <c r="S102" s="7">
        <v>3</v>
      </c>
      <c r="T102" s="7">
        <v>8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f t="shared" ca="1" si="4"/>
        <v>66</v>
      </c>
      <c r="AC102" s="7">
        <f>[1]!Table1[[#This Row],[Kidhome]]+[1]!Table1[[#This Row],[Teenhome]]</f>
        <v>1</v>
      </c>
      <c r="AD102" s="7">
        <f t="shared" si="5"/>
        <v>72</v>
      </c>
      <c r="AE102" s="7">
        <f t="shared" si="6"/>
        <v>4</v>
      </c>
      <c r="AF102" s="10">
        <f t="shared" si="7"/>
        <v>4</v>
      </c>
    </row>
    <row r="103" spans="1:32" x14ac:dyDescent="0.3">
      <c r="A103" s="11">
        <v>1016</v>
      </c>
      <c r="B103" s="12">
        <v>1959</v>
      </c>
      <c r="C103" s="12" t="s">
        <v>35</v>
      </c>
      <c r="D103" s="12" t="s">
        <v>33</v>
      </c>
      <c r="E103" s="13">
        <v>34554</v>
      </c>
      <c r="F103" s="12">
        <v>0</v>
      </c>
      <c r="G103" s="12">
        <v>1</v>
      </c>
      <c r="H103" s="14">
        <v>41728</v>
      </c>
      <c r="I103" s="12">
        <v>43</v>
      </c>
      <c r="J103" s="12">
        <v>41</v>
      </c>
      <c r="K103" s="12">
        <v>1</v>
      </c>
      <c r="L103" s="12">
        <v>6</v>
      </c>
      <c r="M103" s="12">
        <v>2</v>
      </c>
      <c r="N103" s="12">
        <v>0</v>
      </c>
      <c r="O103" s="12">
        <v>5</v>
      </c>
      <c r="P103" s="12">
        <v>2</v>
      </c>
      <c r="Q103" s="12">
        <v>2</v>
      </c>
      <c r="R103" s="12">
        <v>0</v>
      </c>
      <c r="S103" s="12">
        <v>3</v>
      </c>
      <c r="T103" s="12">
        <v>6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f t="shared" ca="1" si="4"/>
        <v>67</v>
      </c>
      <c r="AC103" s="12">
        <f>[1]!Table1[[#This Row],[Kidhome]]+[1]!Table1[[#This Row],[Teenhome]]</f>
        <v>1</v>
      </c>
      <c r="AD103" s="12">
        <f t="shared" si="5"/>
        <v>55</v>
      </c>
      <c r="AE103" s="12">
        <f t="shared" si="6"/>
        <v>4</v>
      </c>
      <c r="AF103" s="15">
        <f t="shared" si="7"/>
        <v>4</v>
      </c>
    </row>
    <row r="104" spans="1:32" x14ac:dyDescent="0.3">
      <c r="A104" s="6">
        <v>4518</v>
      </c>
      <c r="B104" s="7">
        <v>1979</v>
      </c>
      <c r="C104" s="7" t="s">
        <v>32</v>
      </c>
      <c r="D104" s="7" t="s">
        <v>34</v>
      </c>
      <c r="E104" s="8">
        <v>85693</v>
      </c>
      <c r="F104" s="7">
        <v>0</v>
      </c>
      <c r="G104" s="7">
        <v>1</v>
      </c>
      <c r="H104" s="9">
        <v>41384</v>
      </c>
      <c r="I104" s="7">
        <v>59</v>
      </c>
      <c r="J104" s="7">
        <v>386</v>
      </c>
      <c r="K104" s="7">
        <v>172</v>
      </c>
      <c r="L104" s="7">
        <v>183</v>
      </c>
      <c r="M104" s="7">
        <v>185</v>
      </c>
      <c r="N104" s="7">
        <v>132</v>
      </c>
      <c r="O104" s="7">
        <v>111</v>
      </c>
      <c r="P104" s="7">
        <v>2</v>
      </c>
      <c r="Q104" s="7">
        <v>9</v>
      </c>
      <c r="R104" s="7">
        <v>5</v>
      </c>
      <c r="S104" s="7">
        <v>11</v>
      </c>
      <c r="T104" s="7">
        <v>5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f t="shared" ca="1" si="4"/>
        <v>47</v>
      </c>
      <c r="AC104" s="7">
        <f>[1]!Table1[[#This Row],[Kidhome]]+[1]!Table1[[#This Row],[Teenhome]]</f>
        <v>1</v>
      </c>
      <c r="AD104" s="7">
        <f t="shared" si="5"/>
        <v>1169</v>
      </c>
      <c r="AE104" s="7">
        <f t="shared" si="6"/>
        <v>16</v>
      </c>
      <c r="AF104" s="10">
        <f t="shared" si="7"/>
        <v>16</v>
      </c>
    </row>
    <row r="105" spans="1:32" x14ac:dyDescent="0.3">
      <c r="A105" s="11">
        <v>9370</v>
      </c>
      <c r="B105" s="12">
        <v>1945</v>
      </c>
      <c r="C105" s="12" t="s">
        <v>35</v>
      </c>
      <c r="D105" s="12" t="s">
        <v>36</v>
      </c>
      <c r="E105" s="13">
        <v>65846</v>
      </c>
      <c r="F105" s="12">
        <v>0</v>
      </c>
      <c r="G105" s="12">
        <v>0</v>
      </c>
      <c r="H105" s="14">
        <v>41411</v>
      </c>
      <c r="I105" s="12">
        <v>68</v>
      </c>
      <c r="J105" s="12">
        <v>562</v>
      </c>
      <c r="K105" s="12">
        <v>81</v>
      </c>
      <c r="L105" s="12">
        <v>276</v>
      </c>
      <c r="M105" s="12">
        <v>80</v>
      </c>
      <c r="N105" s="12">
        <v>40</v>
      </c>
      <c r="O105" s="12">
        <v>81</v>
      </c>
      <c r="P105" s="12">
        <v>1</v>
      </c>
      <c r="Q105" s="12">
        <v>6</v>
      </c>
      <c r="R105" s="12">
        <v>3</v>
      </c>
      <c r="S105" s="12">
        <v>6</v>
      </c>
      <c r="T105" s="12">
        <v>4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f t="shared" ca="1" si="4"/>
        <v>81</v>
      </c>
      <c r="AC105" s="12">
        <f>[1]!Table1[[#This Row],[Kidhome]]+[1]!Table1[[#This Row],[Teenhome]]</f>
        <v>0</v>
      </c>
      <c r="AD105" s="12">
        <f t="shared" si="5"/>
        <v>1120</v>
      </c>
      <c r="AE105" s="12">
        <f t="shared" si="6"/>
        <v>10</v>
      </c>
      <c r="AF105" s="15">
        <f t="shared" si="7"/>
        <v>10</v>
      </c>
    </row>
    <row r="106" spans="1:32" x14ac:dyDescent="0.3">
      <c r="A106" s="6">
        <v>8908</v>
      </c>
      <c r="B106" s="7">
        <v>1959</v>
      </c>
      <c r="C106" s="7" t="s">
        <v>32</v>
      </c>
      <c r="D106" s="7" t="s">
        <v>36</v>
      </c>
      <c r="E106" s="8">
        <v>87195</v>
      </c>
      <c r="F106" s="7">
        <v>0</v>
      </c>
      <c r="G106" s="7">
        <v>0</v>
      </c>
      <c r="H106" s="9">
        <v>41767</v>
      </c>
      <c r="I106" s="7">
        <v>35</v>
      </c>
      <c r="J106" s="7">
        <v>217</v>
      </c>
      <c r="K106" s="7">
        <v>76</v>
      </c>
      <c r="L106" s="7">
        <v>690</v>
      </c>
      <c r="M106" s="7">
        <v>50</v>
      </c>
      <c r="N106" s="7">
        <v>26</v>
      </c>
      <c r="O106" s="7">
        <v>38</v>
      </c>
      <c r="P106" s="7">
        <v>1</v>
      </c>
      <c r="Q106" s="7">
        <v>3</v>
      </c>
      <c r="R106" s="7">
        <v>11</v>
      </c>
      <c r="S106" s="7">
        <v>5</v>
      </c>
      <c r="T106" s="7">
        <v>1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1</v>
      </c>
      <c r="AB106" s="7">
        <f t="shared" ca="1" si="4"/>
        <v>67</v>
      </c>
      <c r="AC106" s="7">
        <f>[1]!Table1[[#This Row],[Kidhome]]+[1]!Table1[[#This Row],[Teenhome]]</f>
        <v>0</v>
      </c>
      <c r="AD106" s="7">
        <f t="shared" si="5"/>
        <v>1097</v>
      </c>
      <c r="AE106" s="7">
        <f t="shared" si="6"/>
        <v>15</v>
      </c>
      <c r="AF106" s="10">
        <f t="shared" si="7"/>
        <v>15</v>
      </c>
    </row>
    <row r="107" spans="1:32" x14ac:dyDescent="0.3">
      <c r="A107" s="11">
        <v>8373</v>
      </c>
      <c r="B107" s="12">
        <v>1979</v>
      </c>
      <c r="C107" s="12" t="s">
        <v>39</v>
      </c>
      <c r="D107" s="12" t="s">
        <v>34</v>
      </c>
      <c r="E107" s="13">
        <v>24594</v>
      </c>
      <c r="F107" s="12">
        <v>1</v>
      </c>
      <c r="G107" s="12">
        <v>0</v>
      </c>
      <c r="H107" s="14">
        <v>41618</v>
      </c>
      <c r="I107" s="12">
        <v>94</v>
      </c>
      <c r="J107" s="12">
        <v>1</v>
      </c>
      <c r="K107" s="12">
        <v>3</v>
      </c>
      <c r="L107" s="12">
        <v>6</v>
      </c>
      <c r="M107" s="12">
        <v>10</v>
      </c>
      <c r="N107" s="12">
        <v>0</v>
      </c>
      <c r="O107" s="12">
        <v>9</v>
      </c>
      <c r="P107" s="12">
        <v>1</v>
      </c>
      <c r="Q107" s="12">
        <v>1</v>
      </c>
      <c r="R107" s="12">
        <v>0</v>
      </c>
      <c r="S107" s="12">
        <v>3</v>
      </c>
      <c r="T107" s="12">
        <v>5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f t="shared" ca="1" si="4"/>
        <v>47</v>
      </c>
      <c r="AC107" s="12">
        <f>[1]!Table1[[#This Row],[Kidhome]]+[1]!Table1[[#This Row],[Teenhome]]</f>
        <v>1</v>
      </c>
      <c r="AD107" s="12">
        <f t="shared" si="5"/>
        <v>29</v>
      </c>
      <c r="AE107" s="12">
        <f t="shared" si="6"/>
        <v>2</v>
      </c>
      <c r="AF107" s="15">
        <f t="shared" si="7"/>
        <v>2</v>
      </c>
    </row>
    <row r="108" spans="1:32" x14ac:dyDescent="0.3">
      <c r="A108" s="6">
        <v>7533</v>
      </c>
      <c r="B108" s="7">
        <v>1964</v>
      </c>
      <c r="C108" s="7" t="s">
        <v>32</v>
      </c>
      <c r="D108" s="7" t="s">
        <v>36</v>
      </c>
      <c r="E108" s="8">
        <v>49096</v>
      </c>
      <c r="F108" s="7">
        <v>1</v>
      </c>
      <c r="G108" s="7">
        <v>1</v>
      </c>
      <c r="H108" s="9">
        <v>41541</v>
      </c>
      <c r="I108" s="7">
        <v>15</v>
      </c>
      <c r="J108" s="7">
        <v>144</v>
      </c>
      <c r="K108" s="7">
        <v>1</v>
      </c>
      <c r="L108" s="7">
        <v>32</v>
      </c>
      <c r="M108" s="7">
        <v>2</v>
      </c>
      <c r="N108" s="7">
        <v>1</v>
      </c>
      <c r="O108" s="7">
        <v>7</v>
      </c>
      <c r="P108" s="7">
        <v>4</v>
      </c>
      <c r="Q108" s="7">
        <v>4</v>
      </c>
      <c r="R108" s="7">
        <v>1</v>
      </c>
      <c r="S108" s="7">
        <v>4</v>
      </c>
      <c r="T108" s="7">
        <v>7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f t="shared" ca="1" si="4"/>
        <v>62</v>
      </c>
      <c r="AC108" s="7">
        <f>[1]!Table1[[#This Row],[Kidhome]]+[1]!Table1[[#This Row],[Teenhome]]</f>
        <v>2</v>
      </c>
      <c r="AD108" s="7">
        <f t="shared" si="5"/>
        <v>187</v>
      </c>
      <c r="AE108" s="7">
        <f t="shared" si="6"/>
        <v>9</v>
      </c>
      <c r="AF108" s="10">
        <f t="shared" si="7"/>
        <v>9</v>
      </c>
    </row>
    <row r="109" spans="1:32" x14ac:dyDescent="0.3">
      <c r="A109" s="11">
        <v>2683</v>
      </c>
      <c r="B109" s="12">
        <v>1969</v>
      </c>
      <c r="C109" s="12" t="s">
        <v>32</v>
      </c>
      <c r="D109" s="12" t="s">
        <v>36</v>
      </c>
      <c r="E109" s="13">
        <v>52413</v>
      </c>
      <c r="F109" s="12">
        <v>0</v>
      </c>
      <c r="G109" s="12">
        <v>2</v>
      </c>
      <c r="H109" s="14">
        <v>41307</v>
      </c>
      <c r="I109" s="12">
        <v>56</v>
      </c>
      <c r="J109" s="12">
        <v>295</v>
      </c>
      <c r="K109" s="12">
        <v>106</v>
      </c>
      <c r="L109" s="12">
        <v>271</v>
      </c>
      <c r="M109" s="12">
        <v>75</v>
      </c>
      <c r="N109" s="12">
        <v>98</v>
      </c>
      <c r="O109" s="12">
        <v>65</v>
      </c>
      <c r="P109" s="12">
        <v>4</v>
      </c>
      <c r="Q109" s="12">
        <v>6</v>
      </c>
      <c r="R109" s="12">
        <v>4</v>
      </c>
      <c r="S109" s="12">
        <v>12</v>
      </c>
      <c r="T109" s="12">
        <v>6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f t="shared" ca="1" si="4"/>
        <v>57</v>
      </c>
      <c r="AC109" s="12">
        <f>[1]!Table1[[#This Row],[Kidhome]]+[1]!Table1[[#This Row],[Teenhome]]</f>
        <v>2</v>
      </c>
      <c r="AD109" s="12">
        <f t="shared" si="5"/>
        <v>910</v>
      </c>
      <c r="AE109" s="12">
        <f t="shared" si="6"/>
        <v>14</v>
      </c>
      <c r="AF109" s="15">
        <f t="shared" si="7"/>
        <v>14</v>
      </c>
    </row>
    <row r="110" spans="1:32" x14ac:dyDescent="0.3">
      <c r="A110" s="6">
        <v>3629</v>
      </c>
      <c r="B110" s="7">
        <v>1978</v>
      </c>
      <c r="C110" s="7" t="s">
        <v>32</v>
      </c>
      <c r="D110" s="7" t="s">
        <v>33</v>
      </c>
      <c r="E110" s="8">
        <v>38557</v>
      </c>
      <c r="F110" s="7">
        <v>1</v>
      </c>
      <c r="G110" s="7">
        <v>0</v>
      </c>
      <c r="H110" s="9">
        <v>41262</v>
      </c>
      <c r="I110" s="7">
        <v>17</v>
      </c>
      <c r="J110" s="7">
        <v>76</v>
      </c>
      <c r="K110" s="7">
        <v>3</v>
      </c>
      <c r="L110" s="7">
        <v>31</v>
      </c>
      <c r="M110" s="7">
        <v>4</v>
      </c>
      <c r="N110" s="7">
        <v>4</v>
      </c>
      <c r="O110" s="7">
        <v>27</v>
      </c>
      <c r="P110" s="7">
        <v>2</v>
      </c>
      <c r="Q110" s="7">
        <v>3</v>
      </c>
      <c r="R110" s="7">
        <v>1</v>
      </c>
      <c r="S110" s="7">
        <v>3</v>
      </c>
      <c r="T110" s="7">
        <v>7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f t="shared" ca="1" si="4"/>
        <v>48</v>
      </c>
      <c r="AC110" s="7">
        <f>[1]!Table1[[#This Row],[Kidhome]]+[1]!Table1[[#This Row],[Teenhome]]</f>
        <v>1</v>
      </c>
      <c r="AD110" s="7">
        <f t="shared" si="5"/>
        <v>145</v>
      </c>
      <c r="AE110" s="7">
        <f t="shared" si="6"/>
        <v>6</v>
      </c>
      <c r="AF110" s="10">
        <f t="shared" si="7"/>
        <v>6</v>
      </c>
    </row>
    <row r="111" spans="1:32" x14ac:dyDescent="0.3">
      <c r="A111" s="11">
        <v>10991</v>
      </c>
      <c r="B111" s="12">
        <v>1960</v>
      </c>
      <c r="C111" s="12" t="s">
        <v>37</v>
      </c>
      <c r="D111" s="12" t="s">
        <v>36</v>
      </c>
      <c r="E111" s="13">
        <v>89058</v>
      </c>
      <c r="F111" s="12">
        <v>0</v>
      </c>
      <c r="G111" s="12">
        <v>0</v>
      </c>
      <c r="H111" s="14">
        <v>41250</v>
      </c>
      <c r="I111" s="12">
        <v>18</v>
      </c>
      <c r="J111" s="12">
        <v>454</v>
      </c>
      <c r="K111" s="12">
        <v>194</v>
      </c>
      <c r="L111" s="12">
        <v>106</v>
      </c>
      <c r="M111" s="12">
        <v>31</v>
      </c>
      <c r="N111" s="12">
        <v>22</v>
      </c>
      <c r="O111" s="12">
        <v>43</v>
      </c>
      <c r="P111" s="12">
        <v>1</v>
      </c>
      <c r="Q111" s="12">
        <v>5</v>
      </c>
      <c r="R111" s="12">
        <v>4</v>
      </c>
      <c r="S111" s="12">
        <v>4</v>
      </c>
      <c r="T111" s="12">
        <v>2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f t="shared" ca="1" si="4"/>
        <v>66</v>
      </c>
      <c r="AC111" s="12">
        <f>[1]!Table1[[#This Row],[Kidhome]]+[1]!Table1[[#This Row],[Teenhome]]</f>
        <v>0</v>
      </c>
      <c r="AD111" s="12">
        <f t="shared" si="5"/>
        <v>850</v>
      </c>
      <c r="AE111" s="12">
        <f t="shared" si="6"/>
        <v>10</v>
      </c>
      <c r="AF111" s="15">
        <f t="shared" si="7"/>
        <v>10</v>
      </c>
    </row>
    <row r="112" spans="1:32" x14ac:dyDescent="0.3">
      <c r="A112" s="6">
        <v>5077</v>
      </c>
      <c r="B112" s="7">
        <v>1979</v>
      </c>
      <c r="C112" s="7" t="s">
        <v>32</v>
      </c>
      <c r="D112" s="7" t="s">
        <v>34</v>
      </c>
      <c r="E112" s="8">
        <v>77298</v>
      </c>
      <c r="F112" s="7">
        <v>0</v>
      </c>
      <c r="G112" s="7">
        <v>1</v>
      </c>
      <c r="H112" s="9">
        <v>41580</v>
      </c>
      <c r="I112" s="7">
        <v>46</v>
      </c>
      <c r="J112" s="7">
        <v>425</v>
      </c>
      <c r="K112" s="7">
        <v>115</v>
      </c>
      <c r="L112" s="7">
        <v>292</v>
      </c>
      <c r="M112" s="7">
        <v>23</v>
      </c>
      <c r="N112" s="7">
        <v>35</v>
      </c>
      <c r="O112" s="7">
        <v>79</v>
      </c>
      <c r="P112" s="7">
        <v>1</v>
      </c>
      <c r="Q112" s="7">
        <v>6</v>
      </c>
      <c r="R112" s="7">
        <v>6</v>
      </c>
      <c r="S112" s="7">
        <v>11</v>
      </c>
      <c r="T112" s="7">
        <v>3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f t="shared" ca="1" si="4"/>
        <v>47</v>
      </c>
      <c r="AC112" s="7">
        <f>[1]!Table1[[#This Row],[Kidhome]]+[1]!Table1[[#This Row],[Teenhome]]</f>
        <v>1</v>
      </c>
      <c r="AD112" s="7">
        <f t="shared" si="5"/>
        <v>969</v>
      </c>
      <c r="AE112" s="7">
        <f t="shared" si="6"/>
        <v>13</v>
      </c>
      <c r="AF112" s="10">
        <f t="shared" si="7"/>
        <v>13</v>
      </c>
    </row>
    <row r="113" spans="1:32" x14ac:dyDescent="0.3">
      <c r="A113" s="11">
        <v>7431</v>
      </c>
      <c r="B113" s="12">
        <v>1991</v>
      </c>
      <c r="C113" s="12" t="s">
        <v>35</v>
      </c>
      <c r="D113" s="12" t="s">
        <v>33</v>
      </c>
      <c r="E113" s="13">
        <v>68126</v>
      </c>
      <c r="F113" s="12">
        <v>0</v>
      </c>
      <c r="G113" s="12">
        <v>0</v>
      </c>
      <c r="H113" s="14">
        <v>41223</v>
      </c>
      <c r="I113" s="12">
        <v>40</v>
      </c>
      <c r="J113" s="12">
        <v>1332</v>
      </c>
      <c r="K113" s="12">
        <v>17</v>
      </c>
      <c r="L113" s="12">
        <v>311</v>
      </c>
      <c r="M113" s="12">
        <v>23</v>
      </c>
      <c r="N113" s="12">
        <v>51</v>
      </c>
      <c r="O113" s="12">
        <v>86</v>
      </c>
      <c r="P113" s="12">
        <v>1</v>
      </c>
      <c r="Q113" s="12">
        <v>7</v>
      </c>
      <c r="R113" s="12">
        <v>4</v>
      </c>
      <c r="S113" s="12">
        <v>5</v>
      </c>
      <c r="T113" s="12">
        <v>9</v>
      </c>
      <c r="U113" s="12">
        <v>0</v>
      </c>
      <c r="V113" s="12">
        <v>1</v>
      </c>
      <c r="W113" s="12">
        <v>0</v>
      </c>
      <c r="X113" s="12">
        <v>0</v>
      </c>
      <c r="Y113" s="12">
        <v>0</v>
      </c>
      <c r="Z113" s="12">
        <v>0</v>
      </c>
      <c r="AA113" s="12">
        <v>1</v>
      </c>
      <c r="AB113" s="12">
        <f t="shared" ca="1" si="4"/>
        <v>35</v>
      </c>
      <c r="AC113" s="12">
        <f>[1]!Table1[[#This Row],[Kidhome]]+[1]!Table1[[#This Row],[Teenhome]]</f>
        <v>0</v>
      </c>
      <c r="AD113" s="12">
        <f t="shared" si="5"/>
        <v>1820</v>
      </c>
      <c r="AE113" s="12">
        <f t="shared" si="6"/>
        <v>12</v>
      </c>
      <c r="AF113" s="15">
        <f t="shared" si="7"/>
        <v>12</v>
      </c>
    </row>
    <row r="114" spans="1:32" x14ac:dyDescent="0.3">
      <c r="A114" s="6">
        <v>3267</v>
      </c>
      <c r="B114" s="7">
        <v>1963</v>
      </c>
      <c r="C114" s="7" t="s">
        <v>37</v>
      </c>
      <c r="D114" s="7" t="s">
        <v>34</v>
      </c>
      <c r="E114" s="8">
        <v>57288</v>
      </c>
      <c r="F114" s="7">
        <v>0</v>
      </c>
      <c r="G114" s="7">
        <v>1</v>
      </c>
      <c r="H114" s="9">
        <v>41815</v>
      </c>
      <c r="I114" s="7">
        <v>27</v>
      </c>
      <c r="J114" s="7">
        <v>527</v>
      </c>
      <c r="K114" s="7">
        <v>0</v>
      </c>
      <c r="L114" s="7">
        <v>21</v>
      </c>
      <c r="M114" s="7">
        <v>0</v>
      </c>
      <c r="N114" s="7">
        <v>0</v>
      </c>
      <c r="O114" s="7">
        <v>60</v>
      </c>
      <c r="P114" s="7">
        <v>3</v>
      </c>
      <c r="Q114" s="7">
        <v>8</v>
      </c>
      <c r="R114" s="7">
        <v>1</v>
      </c>
      <c r="S114" s="7">
        <v>8</v>
      </c>
      <c r="T114" s="7">
        <v>6</v>
      </c>
      <c r="U114" s="7">
        <v>0</v>
      </c>
      <c r="V114" s="7">
        <v>1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f t="shared" ca="1" si="4"/>
        <v>63</v>
      </c>
      <c r="AC114" s="7">
        <f>[1]!Table1[[#This Row],[Kidhome]]+[1]!Table1[[#This Row],[Teenhome]]</f>
        <v>1</v>
      </c>
      <c r="AD114" s="7">
        <f t="shared" si="5"/>
        <v>608</v>
      </c>
      <c r="AE114" s="7">
        <f t="shared" si="6"/>
        <v>12</v>
      </c>
      <c r="AF114" s="10">
        <f t="shared" si="7"/>
        <v>12</v>
      </c>
    </row>
    <row r="115" spans="1:32" x14ac:dyDescent="0.3">
      <c r="A115" s="11">
        <v>999</v>
      </c>
      <c r="B115" s="12">
        <v>1991</v>
      </c>
      <c r="C115" s="12" t="s">
        <v>32</v>
      </c>
      <c r="D115" s="12" t="s">
        <v>33</v>
      </c>
      <c r="E115" s="13">
        <v>86037</v>
      </c>
      <c r="F115" s="12">
        <v>0</v>
      </c>
      <c r="G115" s="12">
        <v>0</v>
      </c>
      <c r="H115" s="14">
        <v>41276</v>
      </c>
      <c r="I115" s="12">
        <v>95</v>
      </c>
      <c r="J115" s="12">
        <v>490</v>
      </c>
      <c r="K115" s="12">
        <v>44</v>
      </c>
      <c r="L115" s="12">
        <v>125</v>
      </c>
      <c r="M115" s="12">
        <v>29</v>
      </c>
      <c r="N115" s="12">
        <v>20</v>
      </c>
      <c r="O115" s="12">
        <v>22</v>
      </c>
      <c r="P115" s="12">
        <v>1</v>
      </c>
      <c r="Q115" s="12">
        <v>6</v>
      </c>
      <c r="R115" s="12">
        <v>7</v>
      </c>
      <c r="S115" s="12">
        <v>11</v>
      </c>
      <c r="T115" s="12">
        <v>3</v>
      </c>
      <c r="U115" s="12">
        <v>0</v>
      </c>
      <c r="V115" s="12">
        <v>1</v>
      </c>
      <c r="W115" s="12">
        <v>1</v>
      </c>
      <c r="X115" s="12">
        <v>0</v>
      </c>
      <c r="Y115" s="12">
        <v>0</v>
      </c>
      <c r="Z115" s="12">
        <v>0</v>
      </c>
      <c r="AA115" s="12">
        <v>1</v>
      </c>
      <c r="AB115" s="12">
        <f t="shared" ca="1" si="4"/>
        <v>35</v>
      </c>
      <c r="AC115" s="12">
        <f>[1]!Table1[[#This Row],[Kidhome]]+[1]!Table1[[#This Row],[Teenhome]]</f>
        <v>0</v>
      </c>
      <c r="AD115" s="12">
        <f t="shared" si="5"/>
        <v>730</v>
      </c>
      <c r="AE115" s="12">
        <f t="shared" si="6"/>
        <v>14</v>
      </c>
      <c r="AF115" s="15">
        <f t="shared" si="7"/>
        <v>14</v>
      </c>
    </row>
    <row r="116" spans="1:32" x14ac:dyDescent="0.3">
      <c r="A116" s="6">
        <v>9215</v>
      </c>
      <c r="B116" s="7">
        <v>1980</v>
      </c>
      <c r="C116" s="7" t="s">
        <v>35</v>
      </c>
      <c r="D116" s="7" t="s">
        <v>36</v>
      </c>
      <c r="E116" s="8">
        <v>43974</v>
      </c>
      <c r="F116" s="7">
        <v>1</v>
      </c>
      <c r="G116" s="7">
        <v>0</v>
      </c>
      <c r="H116" s="9">
        <v>41255</v>
      </c>
      <c r="I116" s="7">
        <v>19</v>
      </c>
      <c r="J116" s="7">
        <v>378</v>
      </c>
      <c r="K116" s="7">
        <v>0</v>
      </c>
      <c r="L116" s="7">
        <v>101</v>
      </c>
      <c r="M116" s="7">
        <v>0</v>
      </c>
      <c r="N116" s="7">
        <v>0</v>
      </c>
      <c r="O116" s="7">
        <v>72</v>
      </c>
      <c r="P116" s="7">
        <v>5</v>
      </c>
      <c r="Q116" s="7">
        <v>6</v>
      </c>
      <c r="R116" s="7">
        <v>4</v>
      </c>
      <c r="S116" s="7">
        <v>6</v>
      </c>
      <c r="T116" s="7">
        <v>7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f t="shared" ca="1" si="4"/>
        <v>46</v>
      </c>
      <c r="AC116" s="7">
        <f>[1]!Table1[[#This Row],[Kidhome]]+[1]!Table1[[#This Row],[Teenhome]]</f>
        <v>1</v>
      </c>
      <c r="AD116" s="7">
        <f t="shared" si="5"/>
        <v>551</v>
      </c>
      <c r="AE116" s="7">
        <f t="shared" si="6"/>
        <v>15</v>
      </c>
      <c r="AF116" s="10">
        <f t="shared" si="7"/>
        <v>15</v>
      </c>
    </row>
    <row r="117" spans="1:32" x14ac:dyDescent="0.3">
      <c r="A117" s="11">
        <v>2286</v>
      </c>
      <c r="B117" s="12">
        <v>1962</v>
      </c>
      <c r="C117" s="12" t="s">
        <v>32</v>
      </c>
      <c r="D117" s="12" t="s">
        <v>33</v>
      </c>
      <c r="E117" s="13">
        <v>50785</v>
      </c>
      <c r="F117" s="12">
        <v>1</v>
      </c>
      <c r="G117" s="12">
        <v>1</v>
      </c>
      <c r="H117" s="14">
        <v>41527</v>
      </c>
      <c r="I117" s="12">
        <v>27</v>
      </c>
      <c r="J117" s="12">
        <v>64</v>
      </c>
      <c r="K117" s="12">
        <v>1</v>
      </c>
      <c r="L117" s="12">
        <v>21</v>
      </c>
      <c r="M117" s="12">
        <v>0</v>
      </c>
      <c r="N117" s="12">
        <v>1</v>
      </c>
      <c r="O117" s="12">
        <v>27</v>
      </c>
      <c r="P117" s="12">
        <v>2</v>
      </c>
      <c r="Q117" s="12">
        <v>2</v>
      </c>
      <c r="R117" s="12">
        <v>1</v>
      </c>
      <c r="S117" s="12">
        <v>3</v>
      </c>
      <c r="T117" s="12">
        <v>6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f t="shared" ca="1" si="4"/>
        <v>64</v>
      </c>
      <c r="AC117" s="12">
        <f>[1]!Table1[[#This Row],[Kidhome]]+[1]!Table1[[#This Row],[Teenhome]]</f>
        <v>2</v>
      </c>
      <c r="AD117" s="12">
        <f t="shared" si="5"/>
        <v>114</v>
      </c>
      <c r="AE117" s="12">
        <f t="shared" si="6"/>
        <v>5</v>
      </c>
      <c r="AF117" s="15">
        <f t="shared" si="7"/>
        <v>5</v>
      </c>
    </row>
    <row r="118" spans="1:32" x14ac:dyDescent="0.3">
      <c r="A118" s="6">
        <v>1592</v>
      </c>
      <c r="B118" s="7">
        <v>1970</v>
      </c>
      <c r="C118" s="7" t="s">
        <v>32</v>
      </c>
      <c r="D118" s="7" t="s">
        <v>36</v>
      </c>
      <c r="E118" s="8">
        <v>90765</v>
      </c>
      <c r="F118" s="7">
        <v>0</v>
      </c>
      <c r="G118" s="7">
        <v>0</v>
      </c>
      <c r="H118" s="9">
        <v>41663</v>
      </c>
      <c r="I118" s="7">
        <v>25</v>
      </c>
      <c r="J118" s="7">
        <v>547</v>
      </c>
      <c r="K118" s="7">
        <v>99</v>
      </c>
      <c r="L118" s="7">
        <v>812</v>
      </c>
      <c r="M118" s="7">
        <v>151</v>
      </c>
      <c r="N118" s="7">
        <v>82</v>
      </c>
      <c r="O118" s="7">
        <v>33</v>
      </c>
      <c r="P118" s="7">
        <v>0</v>
      </c>
      <c r="Q118" s="7">
        <v>4</v>
      </c>
      <c r="R118" s="7">
        <v>6</v>
      </c>
      <c r="S118" s="7">
        <v>5</v>
      </c>
      <c r="T118" s="7">
        <v>1</v>
      </c>
      <c r="U118" s="7">
        <v>0</v>
      </c>
      <c r="V118" s="7">
        <v>0</v>
      </c>
      <c r="W118" s="7">
        <v>1</v>
      </c>
      <c r="X118" s="7">
        <v>1</v>
      </c>
      <c r="Y118" s="7">
        <v>0</v>
      </c>
      <c r="Z118" s="7">
        <v>0</v>
      </c>
      <c r="AA118" s="7">
        <v>0</v>
      </c>
      <c r="AB118" s="7">
        <f t="shared" ca="1" si="4"/>
        <v>56</v>
      </c>
      <c r="AC118" s="7">
        <f>[1]!Table1[[#This Row],[Kidhome]]+[1]!Table1[[#This Row],[Teenhome]]</f>
        <v>0</v>
      </c>
      <c r="AD118" s="7">
        <f t="shared" si="5"/>
        <v>1724</v>
      </c>
      <c r="AE118" s="7">
        <f t="shared" si="6"/>
        <v>10</v>
      </c>
      <c r="AF118" s="10">
        <f t="shared" si="7"/>
        <v>10</v>
      </c>
    </row>
    <row r="119" spans="1:32" x14ac:dyDescent="0.3">
      <c r="A119" s="11">
        <v>367</v>
      </c>
      <c r="B119" s="12">
        <v>1978</v>
      </c>
      <c r="C119" s="12" t="s">
        <v>40</v>
      </c>
      <c r="D119" s="12" t="s">
        <v>36</v>
      </c>
      <c r="E119" s="13">
        <v>36550</v>
      </c>
      <c r="F119" s="12">
        <v>1</v>
      </c>
      <c r="G119" s="12">
        <v>0</v>
      </c>
      <c r="H119" s="14">
        <v>41324</v>
      </c>
      <c r="I119" s="12">
        <v>74</v>
      </c>
      <c r="J119" s="12">
        <v>47</v>
      </c>
      <c r="K119" s="12">
        <v>90</v>
      </c>
      <c r="L119" s="12">
        <v>94</v>
      </c>
      <c r="M119" s="12">
        <v>123</v>
      </c>
      <c r="N119" s="12">
        <v>103</v>
      </c>
      <c r="O119" s="12">
        <v>120</v>
      </c>
      <c r="P119" s="12">
        <v>5</v>
      </c>
      <c r="Q119" s="12">
        <v>9</v>
      </c>
      <c r="R119" s="12">
        <v>1</v>
      </c>
      <c r="S119" s="12">
        <v>5</v>
      </c>
      <c r="T119" s="12">
        <v>9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f t="shared" ca="1" si="4"/>
        <v>48</v>
      </c>
      <c r="AC119" s="12">
        <f>[1]!Table1[[#This Row],[Kidhome]]+[1]!Table1[[#This Row],[Teenhome]]</f>
        <v>1</v>
      </c>
      <c r="AD119" s="12">
        <f t="shared" si="5"/>
        <v>577</v>
      </c>
      <c r="AE119" s="12">
        <f t="shared" si="6"/>
        <v>15</v>
      </c>
      <c r="AF119" s="15">
        <f t="shared" si="7"/>
        <v>15</v>
      </c>
    </row>
    <row r="120" spans="1:32" x14ac:dyDescent="0.3">
      <c r="A120" s="6">
        <v>5234</v>
      </c>
      <c r="B120" s="7">
        <v>1967</v>
      </c>
      <c r="C120" s="7" t="s">
        <v>40</v>
      </c>
      <c r="D120" s="7" t="s">
        <v>34</v>
      </c>
      <c r="E120" s="8">
        <v>30753</v>
      </c>
      <c r="F120" s="7">
        <v>1</v>
      </c>
      <c r="G120" s="7">
        <v>1</v>
      </c>
      <c r="H120" s="9">
        <v>41466</v>
      </c>
      <c r="I120" s="7">
        <v>85</v>
      </c>
      <c r="J120" s="7">
        <v>12</v>
      </c>
      <c r="K120" s="7">
        <v>5</v>
      </c>
      <c r="L120" s="7">
        <v>25</v>
      </c>
      <c r="M120" s="7">
        <v>0</v>
      </c>
      <c r="N120" s="7">
        <v>9</v>
      </c>
      <c r="O120" s="7">
        <v>30</v>
      </c>
      <c r="P120" s="7">
        <v>2</v>
      </c>
      <c r="Q120" s="7">
        <v>1</v>
      </c>
      <c r="R120" s="7">
        <v>1</v>
      </c>
      <c r="S120" s="7">
        <v>3</v>
      </c>
      <c r="T120" s="7">
        <v>5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f t="shared" ca="1" si="4"/>
        <v>59</v>
      </c>
      <c r="AC120" s="7">
        <f>[1]!Table1[[#This Row],[Kidhome]]+[1]!Table1[[#This Row],[Teenhome]]</f>
        <v>2</v>
      </c>
      <c r="AD120" s="7">
        <f t="shared" si="5"/>
        <v>81</v>
      </c>
      <c r="AE120" s="7">
        <f t="shared" si="6"/>
        <v>4</v>
      </c>
      <c r="AF120" s="10">
        <f t="shared" si="7"/>
        <v>4</v>
      </c>
    </row>
    <row r="121" spans="1:32" x14ac:dyDescent="0.3">
      <c r="A121" s="11">
        <v>9862</v>
      </c>
      <c r="B121" s="12">
        <v>1969</v>
      </c>
      <c r="C121" s="12" t="s">
        <v>32</v>
      </c>
      <c r="D121" s="12" t="s">
        <v>34</v>
      </c>
      <c r="E121" s="13">
        <v>21918</v>
      </c>
      <c r="F121" s="12">
        <v>1</v>
      </c>
      <c r="G121" s="12">
        <v>0</v>
      </c>
      <c r="H121" s="14">
        <v>41592</v>
      </c>
      <c r="I121" s="12">
        <v>37</v>
      </c>
      <c r="J121" s="12">
        <v>1</v>
      </c>
      <c r="K121" s="12">
        <v>6</v>
      </c>
      <c r="L121" s="12">
        <v>7</v>
      </c>
      <c r="M121" s="12">
        <v>11</v>
      </c>
      <c r="N121" s="12">
        <v>5</v>
      </c>
      <c r="O121" s="12">
        <v>3</v>
      </c>
      <c r="P121" s="12">
        <v>2</v>
      </c>
      <c r="Q121" s="12">
        <v>2</v>
      </c>
      <c r="R121" s="12">
        <v>0</v>
      </c>
      <c r="S121" s="12">
        <v>3</v>
      </c>
      <c r="T121" s="12">
        <v>6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f t="shared" ca="1" si="4"/>
        <v>57</v>
      </c>
      <c r="AC121" s="12">
        <f>[1]!Table1[[#This Row],[Kidhome]]+[1]!Table1[[#This Row],[Teenhome]]</f>
        <v>1</v>
      </c>
      <c r="AD121" s="12">
        <f t="shared" si="5"/>
        <v>33</v>
      </c>
      <c r="AE121" s="12">
        <f t="shared" si="6"/>
        <v>4</v>
      </c>
      <c r="AF121" s="15">
        <f t="shared" si="7"/>
        <v>4</v>
      </c>
    </row>
    <row r="122" spans="1:32" x14ac:dyDescent="0.3">
      <c r="A122" s="6">
        <v>9805</v>
      </c>
      <c r="B122" s="7">
        <v>1953</v>
      </c>
      <c r="C122" s="7" t="s">
        <v>37</v>
      </c>
      <c r="D122" s="7" t="s">
        <v>34</v>
      </c>
      <c r="E122" s="8">
        <v>56129</v>
      </c>
      <c r="F122" s="7">
        <v>0</v>
      </c>
      <c r="G122" s="7">
        <v>1</v>
      </c>
      <c r="H122" s="9">
        <v>41445</v>
      </c>
      <c r="I122" s="7">
        <v>65</v>
      </c>
      <c r="J122" s="7">
        <v>320</v>
      </c>
      <c r="K122" s="7">
        <v>48</v>
      </c>
      <c r="L122" s="7">
        <v>133</v>
      </c>
      <c r="M122" s="7">
        <v>39</v>
      </c>
      <c r="N122" s="7">
        <v>72</v>
      </c>
      <c r="O122" s="7">
        <v>48</v>
      </c>
      <c r="P122" s="7">
        <v>4</v>
      </c>
      <c r="Q122" s="7">
        <v>6</v>
      </c>
      <c r="R122" s="7">
        <v>2</v>
      </c>
      <c r="S122" s="7">
        <v>10</v>
      </c>
      <c r="T122" s="7">
        <v>4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f t="shared" ca="1" si="4"/>
        <v>73</v>
      </c>
      <c r="AC122" s="7">
        <f>[1]!Table1[[#This Row],[Kidhome]]+[1]!Table1[[#This Row],[Teenhome]]</f>
        <v>1</v>
      </c>
      <c r="AD122" s="7">
        <f t="shared" si="5"/>
        <v>660</v>
      </c>
      <c r="AE122" s="7">
        <f t="shared" si="6"/>
        <v>12</v>
      </c>
      <c r="AF122" s="10">
        <f t="shared" si="7"/>
        <v>12</v>
      </c>
    </row>
    <row r="123" spans="1:32" x14ac:dyDescent="0.3">
      <c r="A123" s="11">
        <v>6205</v>
      </c>
      <c r="B123" s="12">
        <v>1967</v>
      </c>
      <c r="C123" s="12" t="s">
        <v>37</v>
      </c>
      <c r="D123" s="12" t="s">
        <v>33</v>
      </c>
      <c r="E123" s="13">
        <v>32557</v>
      </c>
      <c r="F123" s="12">
        <v>1</v>
      </c>
      <c r="G123" s="12">
        <v>0</v>
      </c>
      <c r="H123" s="14">
        <v>41694</v>
      </c>
      <c r="I123" s="12">
        <v>13</v>
      </c>
      <c r="J123" s="12">
        <v>34</v>
      </c>
      <c r="K123" s="12">
        <v>3</v>
      </c>
      <c r="L123" s="12">
        <v>29</v>
      </c>
      <c r="M123" s="12">
        <v>0</v>
      </c>
      <c r="N123" s="12">
        <v>4</v>
      </c>
      <c r="O123" s="12">
        <v>10</v>
      </c>
      <c r="P123" s="12">
        <v>3</v>
      </c>
      <c r="Q123" s="12">
        <v>2</v>
      </c>
      <c r="R123" s="12">
        <v>1</v>
      </c>
      <c r="S123" s="12">
        <v>3</v>
      </c>
      <c r="T123" s="12">
        <v>5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1</v>
      </c>
      <c r="AB123" s="12">
        <f t="shared" ca="1" si="4"/>
        <v>59</v>
      </c>
      <c r="AC123" s="12">
        <f>[1]!Table1[[#This Row],[Kidhome]]+[1]!Table1[[#This Row],[Teenhome]]</f>
        <v>1</v>
      </c>
      <c r="AD123" s="12">
        <f t="shared" si="5"/>
        <v>80</v>
      </c>
      <c r="AE123" s="12">
        <f t="shared" si="6"/>
        <v>6</v>
      </c>
      <c r="AF123" s="15">
        <f t="shared" si="7"/>
        <v>6</v>
      </c>
    </row>
    <row r="124" spans="1:32" x14ac:dyDescent="0.3">
      <c r="A124" s="6">
        <v>8442</v>
      </c>
      <c r="B124" s="7">
        <v>1985</v>
      </c>
      <c r="C124" s="7" t="s">
        <v>37</v>
      </c>
      <c r="D124" s="7" t="s">
        <v>36</v>
      </c>
      <c r="E124" s="8">
        <v>19510</v>
      </c>
      <c r="F124" s="7">
        <v>2</v>
      </c>
      <c r="G124" s="7">
        <v>0</v>
      </c>
      <c r="H124" s="9">
        <v>41521</v>
      </c>
      <c r="I124" s="7">
        <v>63</v>
      </c>
      <c r="J124" s="7">
        <v>9</v>
      </c>
      <c r="K124" s="7">
        <v>0</v>
      </c>
      <c r="L124" s="7">
        <v>7</v>
      </c>
      <c r="M124" s="7">
        <v>3</v>
      </c>
      <c r="N124" s="7">
        <v>4</v>
      </c>
      <c r="O124" s="7">
        <v>7</v>
      </c>
      <c r="P124" s="7">
        <v>2</v>
      </c>
      <c r="Q124" s="7">
        <v>1</v>
      </c>
      <c r="R124" s="7">
        <v>0</v>
      </c>
      <c r="S124" s="7">
        <v>3</v>
      </c>
      <c r="T124" s="7">
        <v>7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f t="shared" ca="1" si="4"/>
        <v>41</v>
      </c>
      <c r="AC124" s="7">
        <f>[1]!Table1[[#This Row],[Kidhome]]+[1]!Table1[[#This Row],[Teenhome]]</f>
        <v>2</v>
      </c>
      <c r="AD124" s="7">
        <f t="shared" si="5"/>
        <v>30</v>
      </c>
      <c r="AE124" s="7">
        <f t="shared" si="6"/>
        <v>3</v>
      </c>
      <c r="AF124" s="10">
        <f t="shared" si="7"/>
        <v>3</v>
      </c>
    </row>
    <row r="125" spans="1:32" x14ac:dyDescent="0.3">
      <c r="A125" s="11">
        <v>7386</v>
      </c>
      <c r="B125" s="12">
        <v>1976</v>
      </c>
      <c r="C125" s="12" t="s">
        <v>32</v>
      </c>
      <c r="D125" s="12" t="s">
        <v>38</v>
      </c>
      <c r="E125" s="13">
        <v>30992</v>
      </c>
      <c r="F125" s="12">
        <v>1</v>
      </c>
      <c r="G125" s="12">
        <v>0</v>
      </c>
      <c r="H125" s="14">
        <v>41386</v>
      </c>
      <c r="I125" s="12">
        <v>83</v>
      </c>
      <c r="J125" s="12">
        <v>17</v>
      </c>
      <c r="K125" s="12">
        <v>0</v>
      </c>
      <c r="L125" s="12">
        <v>14</v>
      </c>
      <c r="M125" s="12">
        <v>7</v>
      </c>
      <c r="N125" s="12">
        <v>3</v>
      </c>
      <c r="O125" s="12">
        <v>2</v>
      </c>
      <c r="P125" s="12">
        <v>1</v>
      </c>
      <c r="Q125" s="12">
        <v>1</v>
      </c>
      <c r="R125" s="12">
        <v>0</v>
      </c>
      <c r="S125" s="12">
        <v>3</v>
      </c>
      <c r="T125" s="12">
        <v>7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f t="shared" ca="1" si="4"/>
        <v>50</v>
      </c>
      <c r="AC125" s="12">
        <f>[1]!Table1[[#This Row],[Kidhome]]+[1]!Table1[[#This Row],[Teenhome]]</f>
        <v>1</v>
      </c>
      <c r="AD125" s="12">
        <f t="shared" si="5"/>
        <v>43</v>
      </c>
      <c r="AE125" s="12">
        <f t="shared" si="6"/>
        <v>2</v>
      </c>
      <c r="AF125" s="15">
        <f t="shared" si="7"/>
        <v>2</v>
      </c>
    </row>
    <row r="126" spans="1:32" x14ac:dyDescent="0.3">
      <c r="A126" s="6">
        <v>7215</v>
      </c>
      <c r="B126" s="7">
        <v>1983</v>
      </c>
      <c r="C126" s="7" t="s">
        <v>32</v>
      </c>
      <c r="D126" s="7" t="s">
        <v>33</v>
      </c>
      <c r="E126" s="8">
        <v>101970</v>
      </c>
      <c r="F126" s="7">
        <v>0</v>
      </c>
      <c r="G126" s="7">
        <v>0</v>
      </c>
      <c r="H126" s="9">
        <v>41345</v>
      </c>
      <c r="I126" s="7">
        <v>69</v>
      </c>
      <c r="J126" s="7">
        <v>722</v>
      </c>
      <c r="K126" s="7">
        <v>27</v>
      </c>
      <c r="L126" s="7">
        <v>102</v>
      </c>
      <c r="M126" s="7">
        <v>44</v>
      </c>
      <c r="N126" s="7">
        <v>72</v>
      </c>
      <c r="O126" s="7">
        <v>168</v>
      </c>
      <c r="P126" s="7">
        <v>0</v>
      </c>
      <c r="Q126" s="7">
        <v>6</v>
      </c>
      <c r="R126" s="7">
        <v>8</v>
      </c>
      <c r="S126" s="7">
        <v>13</v>
      </c>
      <c r="T126" s="7">
        <v>2</v>
      </c>
      <c r="U126" s="7">
        <v>0</v>
      </c>
      <c r="V126" s="7">
        <v>1</v>
      </c>
      <c r="W126" s="7">
        <v>1</v>
      </c>
      <c r="X126" s="7">
        <v>1</v>
      </c>
      <c r="Y126" s="7">
        <v>0</v>
      </c>
      <c r="Z126" s="7">
        <v>0</v>
      </c>
      <c r="AA126" s="7">
        <v>1</v>
      </c>
      <c r="AB126" s="7">
        <f t="shared" ca="1" si="4"/>
        <v>43</v>
      </c>
      <c r="AC126" s="7">
        <f>[1]!Table1[[#This Row],[Kidhome]]+[1]!Table1[[#This Row],[Teenhome]]</f>
        <v>0</v>
      </c>
      <c r="AD126" s="7">
        <f t="shared" si="5"/>
        <v>1135</v>
      </c>
      <c r="AE126" s="7">
        <f t="shared" si="6"/>
        <v>14</v>
      </c>
      <c r="AF126" s="10">
        <f t="shared" si="7"/>
        <v>14</v>
      </c>
    </row>
    <row r="127" spans="1:32" x14ac:dyDescent="0.3">
      <c r="A127" s="11">
        <v>1491</v>
      </c>
      <c r="B127" s="12">
        <v>1965</v>
      </c>
      <c r="C127" s="12" t="s">
        <v>40</v>
      </c>
      <c r="D127" s="12" t="s">
        <v>34</v>
      </c>
      <c r="E127" s="13">
        <v>71488</v>
      </c>
      <c r="F127" s="12">
        <v>0</v>
      </c>
      <c r="G127" s="12">
        <v>0</v>
      </c>
      <c r="H127" s="14">
        <v>41323</v>
      </c>
      <c r="I127" s="12">
        <v>87</v>
      </c>
      <c r="J127" s="12">
        <v>162</v>
      </c>
      <c r="K127" s="12">
        <v>33</v>
      </c>
      <c r="L127" s="12">
        <v>124</v>
      </c>
      <c r="M127" s="12">
        <v>40</v>
      </c>
      <c r="N127" s="12">
        <v>28</v>
      </c>
      <c r="O127" s="12">
        <v>172</v>
      </c>
      <c r="P127" s="12">
        <v>2</v>
      </c>
      <c r="Q127" s="12">
        <v>3</v>
      </c>
      <c r="R127" s="12">
        <v>4</v>
      </c>
      <c r="S127" s="12">
        <v>7</v>
      </c>
      <c r="T127" s="12">
        <v>1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f t="shared" ca="1" si="4"/>
        <v>61</v>
      </c>
      <c r="AC127" s="12">
        <f>[1]!Table1[[#This Row],[Kidhome]]+[1]!Table1[[#This Row],[Teenhome]]</f>
        <v>0</v>
      </c>
      <c r="AD127" s="12">
        <f t="shared" si="5"/>
        <v>559</v>
      </c>
      <c r="AE127" s="12">
        <f t="shared" si="6"/>
        <v>9</v>
      </c>
      <c r="AF127" s="15">
        <f t="shared" si="7"/>
        <v>9</v>
      </c>
    </row>
    <row r="128" spans="1:32" x14ac:dyDescent="0.3">
      <c r="A128" s="6">
        <v>11071</v>
      </c>
      <c r="B128" s="7">
        <v>1984</v>
      </c>
      <c r="C128" s="7" t="s">
        <v>32</v>
      </c>
      <c r="D128" s="7" t="s">
        <v>33</v>
      </c>
      <c r="E128" s="8">
        <v>79607</v>
      </c>
      <c r="F128" s="7">
        <v>0</v>
      </c>
      <c r="G128" s="7">
        <v>0</v>
      </c>
      <c r="H128" s="9">
        <v>41385</v>
      </c>
      <c r="I128" s="7">
        <v>37</v>
      </c>
      <c r="J128" s="7">
        <v>450</v>
      </c>
      <c r="K128" s="7">
        <v>133</v>
      </c>
      <c r="L128" s="7">
        <v>951</v>
      </c>
      <c r="M128" s="7">
        <v>173</v>
      </c>
      <c r="N128" s="7">
        <v>0</v>
      </c>
      <c r="O128" s="7">
        <v>216</v>
      </c>
      <c r="P128" s="7">
        <v>1</v>
      </c>
      <c r="Q128" s="7">
        <v>3</v>
      </c>
      <c r="R128" s="7">
        <v>6</v>
      </c>
      <c r="S128" s="7">
        <v>6</v>
      </c>
      <c r="T128" s="7">
        <v>1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1</v>
      </c>
      <c r="AB128" s="7">
        <f t="shared" ca="1" si="4"/>
        <v>42</v>
      </c>
      <c r="AC128" s="7">
        <f>[1]!Table1[[#This Row],[Kidhome]]+[1]!Table1[[#This Row],[Teenhome]]</f>
        <v>0</v>
      </c>
      <c r="AD128" s="7">
        <f t="shared" si="5"/>
        <v>1923</v>
      </c>
      <c r="AE128" s="7">
        <f t="shared" si="6"/>
        <v>10</v>
      </c>
      <c r="AF128" s="10">
        <f t="shared" si="7"/>
        <v>10</v>
      </c>
    </row>
    <row r="129" spans="1:32" x14ac:dyDescent="0.3">
      <c r="A129" s="11">
        <v>3381</v>
      </c>
      <c r="B129" s="12">
        <v>1953</v>
      </c>
      <c r="C129" s="12" t="s">
        <v>37</v>
      </c>
      <c r="D129" s="12" t="s">
        <v>36</v>
      </c>
      <c r="E129" s="13">
        <v>54348</v>
      </c>
      <c r="F129" s="12">
        <v>1</v>
      </c>
      <c r="G129" s="12">
        <v>1</v>
      </c>
      <c r="H129" s="14">
        <v>41798</v>
      </c>
      <c r="I129" s="12">
        <v>51</v>
      </c>
      <c r="J129" s="12">
        <v>70</v>
      </c>
      <c r="K129" s="12">
        <v>0</v>
      </c>
      <c r="L129" s="12">
        <v>16</v>
      </c>
      <c r="M129" s="12">
        <v>0</v>
      </c>
      <c r="N129" s="12">
        <v>0</v>
      </c>
      <c r="O129" s="12">
        <v>4</v>
      </c>
      <c r="P129" s="12">
        <v>2</v>
      </c>
      <c r="Q129" s="12">
        <v>2</v>
      </c>
      <c r="R129" s="12">
        <v>0</v>
      </c>
      <c r="S129" s="12">
        <v>4</v>
      </c>
      <c r="T129" s="12">
        <v>6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f t="shared" ca="1" si="4"/>
        <v>73</v>
      </c>
      <c r="AC129" s="12">
        <f>[1]!Table1[[#This Row],[Kidhome]]+[1]!Table1[[#This Row],[Teenhome]]</f>
        <v>2</v>
      </c>
      <c r="AD129" s="12">
        <f t="shared" si="5"/>
        <v>90</v>
      </c>
      <c r="AE129" s="12">
        <f t="shared" si="6"/>
        <v>4</v>
      </c>
      <c r="AF129" s="15">
        <f t="shared" si="7"/>
        <v>4</v>
      </c>
    </row>
    <row r="130" spans="1:32" x14ac:dyDescent="0.3">
      <c r="A130" s="6">
        <v>8268</v>
      </c>
      <c r="B130" s="7">
        <v>1961</v>
      </c>
      <c r="C130" s="7" t="s">
        <v>35</v>
      </c>
      <c r="D130" s="7" t="s">
        <v>36</v>
      </c>
      <c r="E130" s="8">
        <v>58138</v>
      </c>
      <c r="F130" s="7">
        <v>0</v>
      </c>
      <c r="G130" s="7">
        <v>1</v>
      </c>
      <c r="H130" s="9">
        <v>41466</v>
      </c>
      <c r="I130" s="7">
        <v>23</v>
      </c>
      <c r="J130" s="7">
        <v>352</v>
      </c>
      <c r="K130" s="7">
        <v>0</v>
      </c>
      <c r="L130" s="7">
        <v>27</v>
      </c>
      <c r="M130" s="7">
        <v>10</v>
      </c>
      <c r="N130" s="7">
        <v>0</v>
      </c>
      <c r="O130" s="7">
        <v>15</v>
      </c>
      <c r="P130" s="7">
        <v>3</v>
      </c>
      <c r="Q130" s="7">
        <v>6</v>
      </c>
      <c r="R130" s="7">
        <v>1</v>
      </c>
      <c r="S130" s="7">
        <v>7</v>
      </c>
      <c r="T130" s="7">
        <v>6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f t="shared" ref="AB130:AB193" ca="1" si="8">YEAR(TODAY())-B130</f>
        <v>65</v>
      </c>
      <c r="AC130" s="7">
        <f>[1]!Table1[[#This Row],[Kidhome]]+[1]!Table1[[#This Row],[Teenhome]]</f>
        <v>1</v>
      </c>
      <c r="AD130" s="7">
        <f t="shared" ref="AD130:AD193" si="9">SUM(J130:O130)</f>
        <v>404</v>
      </c>
      <c r="AE130" s="7">
        <f t="shared" ref="AE130:AE193" si="10">P130+Q130+R130</f>
        <v>10</v>
      </c>
      <c r="AF130" s="10">
        <f t="shared" ref="AF130:AF193" si="11">P130+Q130+R130</f>
        <v>10</v>
      </c>
    </row>
    <row r="131" spans="1:32" x14ac:dyDescent="0.3">
      <c r="A131" s="11">
        <v>11051</v>
      </c>
      <c r="B131" s="12">
        <v>1956</v>
      </c>
      <c r="C131" s="12" t="s">
        <v>35</v>
      </c>
      <c r="D131" s="12" t="s">
        <v>34</v>
      </c>
      <c r="E131" s="13">
        <v>77376</v>
      </c>
      <c r="F131" s="12">
        <v>1</v>
      </c>
      <c r="G131" s="12">
        <v>1</v>
      </c>
      <c r="H131" s="14">
        <v>41769</v>
      </c>
      <c r="I131" s="12">
        <v>72</v>
      </c>
      <c r="J131" s="12">
        <v>492</v>
      </c>
      <c r="K131" s="12">
        <v>19</v>
      </c>
      <c r="L131" s="12">
        <v>110</v>
      </c>
      <c r="M131" s="12">
        <v>16</v>
      </c>
      <c r="N131" s="12">
        <v>12</v>
      </c>
      <c r="O131" s="12">
        <v>12</v>
      </c>
      <c r="P131" s="12">
        <v>4</v>
      </c>
      <c r="Q131" s="12">
        <v>6</v>
      </c>
      <c r="R131" s="12">
        <v>3</v>
      </c>
      <c r="S131" s="12">
        <v>10</v>
      </c>
      <c r="T131" s="12">
        <v>4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f t="shared" ca="1" si="8"/>
        <v>70</v>
      </c>
      <c r="AC131" s="12">
        <f>[1]!Table1[[#This Row],[Kidhome]]+[1]!Table1[[#This Row],[Teenhome]]</f>
        <v>2</v>
      </c>
      <c r="AD131" s="12">
        <f t="shared" si="9"/>
        <v>661</v>
      </c>
      <c r="AE131" s="12">
        <f t="shared" si="10"/>
        <v>13</v>
      </c>
      <c r="AF131" s="15">
        <f t="shared" si="11"/>
        <v>13</v>
      </c>
    </row>
    <row r="132" spans="1:32" x14ac:dyDescent="0.3">
      <c r="A132" s="6">
        <v>8026</v>
      </c>
      <c r="B132" s="7">
        <v>1952</v>
      </c>
      <c r="C132" s="7" t="s">
        <v>32</v>
      </c>
      <c r="D132" s="7" t="s">
        <v>36</v>
      </c>
      <c r="E132" s="8">
        <v>62998</v>
      </c>
      <c r="F132" s="7">
        <v>0</v>
      </c>
      <c r="G132" s="7">
        <v>1</v>
      </c>
      <c r="H132" s="9">
        <v>41547</v>
      </c>
      <c r="I132" s="7">
        <v>10</v>
      </c>
      <c r="J132" s="7">
        <v>120</v>
      </c>
      <c r="K132" s="7">
        <v>58</v>
      </c>
      <c r="L132" s="7">
        <v>73</v>
      </c>
      <c r="M132" s="7">
        <v>65</v>
      </c>
      <c r="N132" s="7">
        <v>89</v>
      </c>
      <c r="O132" s="7">
        <v>58</v>
      </c>
      <c r="P132" s="7">
        <v>5</v>
      </c>
      <c r="Q132" s="7">
        <v>5</v>
      </c>
      <c r="R132" s="7">
        <v>4</v>
      </c>
      <c r="S132" s="7">
        <v>5</v>
      </c>
      <c r="T132" s="7">
        <v>5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f t="shared" ca="1" si="8"/>
        <v>74</v>
      </c>
      <c r="AC132" s="7">
        <f>[1]!Table1[[#This Row],[Kidhome]]+[1]!Table1[[#This Row],[Teenhome]]</f>
        <v>1</v>
      </c>
      <c r="AD132" s="7">
        <f t="shared" si="9"/>
        <v>463</v>
      </c>
      <c r="AE132" s="7">
        <f t="shared" si="10"/>
        <v>14</v>
      </c>
      <c r="AF132" s="10">
        <f t="shared" si="11"/>
        <v>14</v>
      </c>
    </row>
    <row r="133" spans="1:32" x14ac:dyDescent="0.3">
      <c r="A133" s="11">
        <v>433</v>
      </c>
      <c r="B133" s="12">
        <v>1958</v>
      </c>
      <c r="C133" s="12" t="s">
        <v>37</v>
      </c>
      <c r="D133" s="12" t="s">
        <v>33</v>
      </c>
      <c r="E133" s="13">
        <v>61331</v>
      </c>
      <c r="F133" s="12">
        <v>1</v>
      </c>
      <c r="G133" s="12">
        <v>1</v>
      </c>
      <c r="H133" s="14">
        <v>41343</v>
      </c>
      <c r="I133" s="12">
        <v>42</v>
      </c>
      <c r="J133" s="12">
        <v>534</v>
      </c>
      <c r="K133" s="12">
        <v>5</v>
      </c>
      <c r="L133" s="12">
        <v>47</v>
      </c>
      <c r="M133" s="12">
        <v>0</v>
      </c>
      <c r="N133" s="12">
        <v>5</v>
      </c>
      <c r="O133" s="12">
        <v>41</v>
      </c>
      <c r="P133" s="12">
        <v>5</v>
      </c>
      <c r="Q133" s="12">
        <v>11</v>
      </c>
      <c r="R133" s="12">
        <v>1</v>
      </c>
      <c r="S133" s="12">
        <v>6</v>
      </c>
      <c r="T133" s="12">
        <v>8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f t="shared" ca="1" si="8"/>
        <v>68</v>
      </c>
      <c r="AC133" s="12">
        <f>[1]!Table1[[#This Row],[Kidhome]]+[1]!Table1[[#This Row],[Teenhome]]</f>
        <v>2</v>
      </c>
      <c r="AD133" s="12">
        <f t="shared" si="9"/>
        <v>632</v>
      </c>
      <c r="AE133" s="12">
        <f t="shared" si="10"/>
        <v>17</v>
      </c>
      <c r="AF133" s="15">
        <f t="shared" si="11"/>
        <v>17</v>
      </c>
    </row>
    <row r="134" spans="1:32" x14ac:dyDescent="0.3">
      <c r="A134" s="6">
        <v>9597</v>
      </c>
      <c r="B134" s="7">
        <v>1969</v>
      </c>
      <c r="C134" s="7" t="s">
        <v>32</v>
      </c>
      <c r="D134" s="7" t="s">
        <v>36</v>
      </c>
      <c r="E134" s="8">
        <v>73448</v>
      </c>
      <c r="F134" s="7">
        <v>0</v>
      </c>
      <c r="G134" s="7">
        <v>0</v>
      </c>
      <c r="H134" s="9">
        <v>41680</v>
      </c>
      <c r="I134" s="7">
        <v>10</v>
      </c>
      <c r="J134" s="7">
        <v>236</v>
      </c>
      <c r="K134" s="7">
        <v>106</v>
      </c>
      <c r="L134" s="7">
        <v>189</v>
      </c>
      <c r="M134" s="7">
        <v>23</v>
      </c>
      <c r="N134" s="7">
        <v>41</v>
      </c>
      <c r="O134" s="7">
        <v>130</v>
      </c>
      <c r="P134" s="7">
        <v>1</v>
      </c>
      <c r="Q134" s="7">
        <v>7</v>
      </c>
      <c r="R134" s="7">
        <v>2</v>
      </c>
      <c r="S134" s="7">
        <v>9</v>
      </c>
      <c r="T134" s="7">
        <v>4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f t="shared" ca="1" si="8"/>
        <v>57</v>
      </c>
      <c r="AC134" s="7">
        <f>[1]!Table1[[#This Row],[Kidhome]]+[1]!Table1[[#This Row],[Teenhome]]</f>
        <v>0</v>
      </c>
      <c r="AD134" s="7">
        <f t="shared" si="9"/>
        <v>725</v>
      </c>
      <c r="AE134" s="7">
        <f t="shared" si="10"/>
        <v>10</v>
      </c>
      <c r="AF134" s="10">
        <f t="shared" si="11"/>
        <v>10</v>
      </c>
    </row>
    <row r="135" spans="1:32" x14ac:dyDescent="0.3">
      <c r="A135" s="11">
        <v>1295</v>
      </c>
      <c r="B135" s="12">
        <v>1963</v>
      </c>
      <c r="C135" s="12" t="s">
        <v>32</v>
      </c>
      <c r="D135" s="12" t="s">
        <v>36</v>
      </c>
      <c r="E135" s="13">
        <v>58138</v>
      </c>
      <c r="F135" s="12">
        <v>0</v>
      </c>
      <c r="G135" s="12">
        <v>1</v>
      </c>
      <c r="H135" s="14">
        <v>41497</v>
      </c>
      <c r="I135" s="12">
        <v>96</v>
      </c>
      <c r="J135" s="12">
        <v>231</v>
      </c>
      <c r="K135" s="12">
        <v>65</v>
      </c>
      <c r="L135" s="12">
        <v>196</v>
      </c>
      <c r="M135" s="12">
        <v>38</v>
      </c>
      <c r="N135" s="12">
        <v>71</v>
      </c>
      <c r="O135" s="12">
        <v>124</v>
      </c>
      <c r="P135" s="12">
        <v>1</v>
      </c>
      <c r="Q135" s="12">
        <v>6</v>
      </c>
      <c r="R135" s="12">
        <v>5</v>
      </c>
      <c r="S135" s="12">
        <v>7</v>
      </c>
      <c r="T135" s="12">
        <v>4</v>
      </c>
      <c r="U135" s="12">
        <v>0</v>
      </c>
      <c r="V135" s="12">
        <v>0</v>
      </c>
      <c r="W135" s="12">
        <v>0</v>
      </c>
      <c r="X135" s="12">
        <v>0</v>
      </c>
      <c r="Y135" s="12">
        <v>0</v>
      </c>
      <c r="Z135" s="12">
        <v>0</v>
      </c>
      <c r="AA135" s="12">
        <v>0</v>
      </c>
      <c r="AB135" s="12">
        <f t="shared" ca="1" si="8"/>
        <v>63</v>
      </c>
      <c r="AC135" s="12">
        <f>[1]!Table1[[#This Row],[Kidhome]]+[1]!Table1[[#This Row],[Teenhome]]</f>
        <v>1</v>
      </c>
      <c r="AD135" s="12">
        <f t="shared" si="9"/>
        <v>725</v>
      </c>
      <c r="AE135" s="12">
        <f t="shared" si="10"/>
        <v>12</v>
      </c>
      <c r="AF135" s="15">
        <f t="shared" si="11"/>
        <v>12</v>
      </c>
    </row>
    <row r="136" spans="1:32" x14ac:dyDescent="0.3">
      <c r="A136" s="6">
        <v>5290</v>
      </c>
      <c r="B136" s="7">
        <v>1964</v>
      </c>
      <c r="C136" s="7" t="s">
        <v>35</v>
      </c>
      <c r="D136" s="7" t="s">
        <v>36</v>
      </c>
      <c r="E136" s="8">
        <v>41551</v>
      </c>
      <c r="F136" s="7">
        <v>1</v>
      </c>
      <c r="G136" s="7">
        <v>1</v>
      </c>
      <c r="H136" s="9">
        <v>41500</v>
      </c>
      <c r="I136" s="7">
        <v>51</v>
      </c>
      <c r="J136" s="7">
        <v>220</v>
      </c>
      <c r="K136" s="7">
        <v>0</v>
      </c>
      <c r="L136" s="7">
        <v>33</v>
      </c>
      <c r="M136" s="7">
        <v>3</v>
      </c>
      <c r="N136" s="7">
        <v>0</v>
      </c>
      <c r="O136" s="7">
        <v>23</v>
      </c>
      <c r="P136" s="7">
        <v>5</v>
      </c>
      <c r="Q136" s="7">
        <v>5</v>
      </c>
      <c r="R136" s="7">
        <v>1</v>
      </c>
      <c r="S136" s="7">
        <v>5</v>
      </c>
      <c r="T136" s="7">
        <v>8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f t="shared" ca="1" si="8"/>
        <v>62</v>
      </c>
      <c r="AC136" s="7">
        <f>[1]!Table1[[#This Row],[Kidhome]]+[1]!Table1[[#This Row],[Teenhome]]</f>
        <v>2</v>
      </c>
      <c r="AD136" s="7">
        <f t="shared" si="9"/>
        <v>279</v>
      </c>
      <c r="AE136" s="7">
        <f t="shared" si="10"/>
        <v>11</v>
      </c>
      <c r="AF136" s="10">
        <f t="shared" si="11"/>
        <v>11</v>
      </c>
    </row>
    <row r="137" spans="1:32" x14ac:dyDescent="0.3">
      <c r="A137" s="11">
        <v>1685</v>
      </c>
      <c r="B137" s="12">
        <v>1967</v>
      </c>
      <c r="C137" s="12" t="s">
        <v>35</v>
      </c>
      <c r="D137" s="12" t="s">
        <v>34</v>
      </c>
      <c r="E137" s="13">
        <v>62981</v>
      </c>
      <c r="F137" s="12">
        <v>0</v>
      </c>
      <c r="G137" s="12">
        <v>0</v>
      </c>
      <c r="H137" s="14">
        <v>41350</v>
      </c>
      <c r="I137" s="12">
        <v>21</v>
      </c>
      <c r="J137" s="12">
        <v>796</v>
      </c>
      <c r="K137" s="12">
        <v>14</v>
      </c>
      <c r="L137" s="12">
        <v>590</v>
      </c>
      <c r="M137" s="12">
        <v>38</v>
      </c>
      <c r="N137" s="12">
        <v>44</v>
      </c>
      <c r="O137" s="12">
        <v>0</v>
      </c>
      <c r="P137" s="12">
        <v>1</v>
      </c>
      <c r="Q137" s="12">
        <v>4</v>
      </c>
      <c r="R137" s="12">
        <v>5</v>
      </c>
      <c r="S137" s="12">
        <v>13</v>
      </c>
      <c r="T137" s="12">
        <v>3</v>
      </c>
      <c r="U137" s="12">
        <v>0</v>
      </c>
      <c r="V137" s="12">
        <v>1</v>
      </c>
      <c r="W137" s="12">
        <v>0</v>
      </c>
      <c r="X137" s="12">
        <v>0</v>
      </c>
      <c r="Y137" s="12">
        <v>0</v>
      </c>
      <c r="Z137" s="12">
        <v>0</v>
      </c>
      <c r="AA137" s="12">
        <v>0</v>
      </c>
      <c r="AB137" s="12">
        <f t="shared" ca="1" si="8"/>
        <v>59</v>
      </c>
      <c r="AC137" s="12">
        <f>[1]!Table1[[#This Row],[Kidhome]]+[1]!Table1[[#This Row],[Teenhome]]</f>
        <v>0</v>
      </c>
      <c r="AD137" s="12">
        <f t="shared" si="9"/>
        <v>1482</v>
      </c>
      <c r="AE137" s="12">
        <f t="shared" si="10"/>
        <v>10</v>
      </c>
      <c r="AF137" s="15">
        <f t="shared" si="11"/>
        <v>10</v>
      </c>
    </row>
    <row r="138" spans="1:32" x14ac:dyDescent="0.3">
      <c r="A138" s="6">
        <v>5342</v>
      </c>
      <c r="B138" s="7">
        <v>1976</v>
      </c>
      <c r="C138" s="7" t="s">
        <v>39</v>
      </c>
      <c r="D138" s="7" t="s">
        <v>38</v>
      </c>
      <c r="E138" s="8">
        <v>9548</v>
      </c>
      <c r="F138" s="7">
        <v>1</v>
      </c>
      <c r="G138" s="7">
        <v>0</v>
      </c>
      <c r="H138" s="9">
        <v>41129</v>
      </c>
      <c r="I138" s="7">
        <v>31</v>
      </c>
      <c r="J138" s="7">
        <v>0</v>
      </c>
      <c r="K138" s="7">
        <v>1</v>
      </c>
      <c r="L138" s="7">
        <v>3</v>
      </c>
      <c r="M138" s="7">
        <v>10</v>
      </c>
      <c r="N138" s="7">
        <v>6</v>
      </c>
      <c r="O138" s="7">
        <v>9</v>
      </c>
      <c r="P138" s="7">
        <v>2</v>
      </c>
      <c r="Q138" s="7">
        <v>1</v>
      </c>
      <c r="R138" s="7">
        <v>0</v>
      </c>
      <c r="S138" s="7">
        <v>3</v>
      </c>
      <c r="T138" s="7">
        <v>8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f t="shared" ca="1" si="8"/>
        <v>50</v>
      </c>
      <c r="AC138" s="7">
        <f>[1]!Table1[[#This Row],[Kidhome]]+[1]!Table1[[#This Row],[Teenhome]]</f>
        <v>1</v>
      </c>
      <c r="AD138" s="7">
        <f t="shared" si="9"/>
        <v>29</v>
      </c>
      <c r="AE138" s="7">
        <f t="shared" si="10"/>
        <v>3</v>
      </c>
      <c r="AF138" s="10">
        <f t="shared" si="11"/>
        <v>3</v>
      </c>
    </row>
    <row r="139" spans="1:32" x14ac:dyDescent="0.3">
      <c r="A139" s="11">
        <v>9579</v>
      </c>
      <c r="B139" s="12">
        <v>1959</v>
      </c>
      <c r="C139" s="12" t="s">
        <v>35</v>
      </c>
      <c r="D139" s="12" t="s">
        <v>36</v>
      </c>
      <c r="E139" s="13">
        <v>33762</v>
      </c>
      <c r="F139" s="12">
        <v>2</v>
      </c>
      <c r="G139" s="12">
        <v>1</v>
      </c>
      <c r="H139" s="14">
        <v>41462</v>
      </c>
      <c r="I139" s="12">
        <v>61</v>
      </c>
      <c r="J139" s="12">
        <v>53</v>
      </c>
      <c r="K139" s="12">
        <v>1</v>
      </c>
      <c r="L139" s="12">
        <v>34</v>
      </c>
      <c r="M139" s="12">
        <v>2</v>
      </c>
      <c r="N139" s="12">
        <v>0</v>
      </c>
      <c r="O139" s="12">
        <v>16</v>
      </c>
      <c r="P139" s="12">
        <v>3</v>
      </c>
      <c r="Q139" s="12">
        <v>2</v>
      </c>
      <c r="R139" s="12">
        <v>2</v>
      </c>
      <c r="S139" s="12">
        <v>2</v>
      </c>
      <c r="T139" s="12">
        <v>8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f t="shared" ca="1" si="8"/>
        <v>67</v>
      </c>
      <c r="AC139" s="12">
        <f>[1]!Table1[[#This Row],[Kidhome]]+[1]!Table1[[#This Row],[Teenhome]]</f>
        <v>3</v>
      </c>
      <c r="AD139" s="12">
        <f t="shared" si="9"/>
        <v>106</v>
      </c>
      <c r="AE139" s="12">
        <f t="shared" si="10"/>
        <v>7</v>
      </c>
      <c r="AF139" s="15">
        <f t="shared" si="11"/>
        <v>7</v>
      </c>
    </row>
    <row r="140" spans="1:32" x14ac:dyDescent="0.3">
      <c r="A140" s="6">
        <v>7660</v>
      </c>
      <c r="B140" s="7">
        <v>1973</v>
      </c>
      <c r="C140" s="7" t="s">
        <v>35</v>
      </c>
      <c r="D140" s="7" t="s">
        <v>33</v>
      </c>
      <c r="E140" s="8">
        <v>35860</v>
      </c>
      <c r="F140" s="7">
        <v>1</v>
      </c>
      <c r="G140" s="7">
        <v>1</v>
      </c>
      <c r="H140" s="9">
        <v>41778</v>
      </c>
      <c r="I140" s="7">
        <v>37</v>
      </c>
      <c r="J140" s="7">
        <v>15</v>
      </c>
      <c r="K140" s="7">
        <v>0</v>
      </c>
      <c r="L140" s="7">
        <v>8</v>
      </c>
      <c r="M140" s="7">
        <v>4</v>
      </c>
      <c r="N140" s="7">
        <v>2</v>
      </c>
      <c r="O140" s="7">
        <v>20</v>
      </c>
      <c r="P140" s="7">
        <v>2</v>
      </c>
      <c r="Q140" s="7">
        <v>1</v>
      </c>
      <c r="R140" s="7">
        <v>1</v>
      </c>
      <c r="S140" s="7">
        <v>2</v>
      </c>
      <c r="T140" s="7">
        <v>5</v>
      </c>
      <c r="U140" s="7">
        <v>1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1</v>
      </c>
      <c r="AB140" s="7">
        <f t="shared" ca="1" si="8"/>
        <v>53</v>
      </c>
      <c r="AC140" s="7">
        <f>[1]!Table1[[#This Row],[Kidhome]]+[1]!Table1[[#This Row],[Teenhome]]</f>
        <v>2</v>
      </c>
      <c r="AD140" s="7">
        <f t="shared" si="9"/>
        <v>49</v>
      </c>
      <c r="AE140" s="7">
        <f t="shared" si="10"/>
        <v>4</v>
      </c>
      <c r="AF140" s="10">
        <f t="shared" si="11"/>
        <v>4</v>
      </c>
    </row>
    <row r="141" spans="1:32" x14ac:dyDescent="0.3">
      <c r="A141" s="11">
        <v>1461</v>
      </c>
      <c r="B141" s="12">
        <v>1965</v>
      </c>
      <c r="C141" s="12" t="s">
        <v>35</v>
      </c>
      <c r="D141" s="12" t="s">
        <v>38</v>
      </c>
      <c r="E141" s="13">
        <v>36921</v>
      </c>
      <c r="F141" s="12">
        <v>1</v>
      </c>
      <c r="G141" s="12">
        <v>1</v>
      </c>
      <c r="H141" s="14">
        <v>41483</v>
      </c>
      <c r="I141" s="12">
        <v>74</v>
      </c>
      <c r="J141" s="12">
        <v>17</v>
      </c>
      <c r="K141" s="12">
        <v>1</v>
      </c>
      <c r="L141" s="12">
        <v>12</v>
      </c>
      <c r="M141" s="12">
        <v>3</v>
      </c>
      <c r="N141" s="12">
        <v>1</v>
      </c>
      <c r="O141" s="12">
        <v>4</v>
      </c>
      <c r="P141" s="12">
        <v>2</v>
      </c>
      <c r="Q141" s="12">
        <v>2</v>
      </c>
      <c r="R141" s="12">
        <v>0</v>
      </c>
      <c r="S141" s="12">
        <v>3</v>
      </c>
      <c r="T141" s="12">
        <v>7</v>
      </c>
      <c r="U141" s="12">
        <v>0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f t="shared" ca="1" si="8"/>
        <v>61</v>
      </c>
      <c r="AC141" s="12">
        <f>[1]!Table1[[#This Row],[Kidhome]]+[1]!Table1[[#This Row],[Teenhome]]</f>
        <v>2</v>
      </c>
      <c r="AD141" s="12">
        <f t="shared" si="9"/>
        <v>38</v>
      </c>
      <c r="AE141" s="12">
        <f t="shared" si="10"/>
        <v>4</v>
      </c>
      <c r="AF141" s="15">
        <f t="shared" si="11"/>
        <v>4</v>
      </c>
    </row>
    <row r="142" spans="1:32" x14ac:dyDescent="0.3">
      <c r="A142" s="6">
        <v>821</v>
      </c>
      <c r="B142" s="7">
        <v>1992</v>
      </c>
      <c r="C142" s="7" t="s">
        <v>37</v>
      </c>
      <c r="D142" s="7" t="s">
        <v>33</v>
      </c>
      <c r="E142" s="8">
        <v>92859</v>
      </c>
      <c r="F142" s="7">
        <v>0</v>
      </c>
      <c r="G142" s="7">
        <v>0</v>
      </c>
      <c r="H142" s="9">
        <v>41201</v>
      </c>
      <c r="I142" s="7">
        <v>46</v>
      </c>
      <c r="J142" s="7">
        <v>962</v>
      </c>
      <c r="K142" s="7">
        <v>61</v>
      </c>
      <c r="L142" s="7">
        <v>921</v>
      </c>
      <c r="M142" s="7">
        <v>52</v>
      </c>
      <c r="N142" s="7">
        <v>61</v>
      </c>
      <c r="O142" s="7">
        <v>20</v>
      </c>
      <c r="P142" s="7">
        <v>1</v>
      </c>
      <c r="Q142" s="7">
        <v>5</v>
      </c>
      <c r="R142" s="7">
        <v>4</v>
      </c>
      <c r="S142" s="7">
        <v>12</v>
      </c>
      <c r="T142" s="7">
        <v>2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f t="shared" ca="1" si="8"/>
        <v>34</v>
      </c>
      <c r="AC142" s="7">
        <f>[1]!Table1[[#This Row],[Kidhome]]+[1]!Table1[[#This Row],[Teenhome]]</f>
        <v>0</v>
      </c>
      <c r="AD142" s="7">
        <f t="shared" si="9"/>
        <v>2077</v>
      </c>
      <c r="AE142" s="7">
        <f t="shared" si="10"/>
        <v>10</v>
      </c>
      <c r="AF142" s="10">
        <f t="shared" si="11"/>
        <v>10</v>
      </c>
    </row>
    <row r="143" spans="1:32" x14ac:dyDescent="0.3">
      <c r="A143" s="11">
        <v>11084</v>
      </c>
      <c r="B143" s="12">
        <v>1976</v>
      </c>
      <c r="C143" s="12" t="s">
        <v>37</v>
      </c>
      <c r="D143" s="12" t="s">
        <v>34</v>
      </c>
      <c r="E143" s="13">
        <v>65104</v>
      </c>
      <c r="F143" s="12">
        <v>0</v>
      </c>
      <c r="G143" s="12">
        <v>1</v>
      </c>
      <c r="H143" s="14">
        <v>41592</v>
      </c>
      <c r="I143" s="12">
        <v>4</v>
      </c>
      <c r="J143" s="12">
        <v>738</v>
      </c>
      <c r="K143" s="12">
        <v>0</v>
      </c>
      <c r="L143" s="12">
        <v>232</v>
      </c>
      <c r="M143" s="12">
        <v>13</v>
      </c>
      <c r="N143" s="12">
        <v>20</v>
      </c>
      <c r="O143" s="12">
        <v>50</v>
      </c>
      <c r="P143" s="12">
        <v>2</v>
      </c>
      <c r="Q143" s="12">
        <v>3</v>
      </c>
      <c r="R143" s="12">
        <v>5</v>
      </c>
      <c r="S143" s="12">
        <v>7</v>
      </c>
      <c r="T143" s="12">
        <v>7</v>
      </c>
      <c r="U143" s="12">
        <v>0</v>
      </c>
      <c r="V143" s="12">
        <v>0</v>
      </c>
      <c r="W143" s="12">
        <v>0</v>
      </c>
      <c r="X143" s="12">
        <v>0</v>
      </c>
      <c r="Y143" s="12">
        <v>0</v>
      </c>
      <c r="Z143" s="12">
        <v>0</v>
      </c>
      <c r="AA143" s="12">
        <v>1</v>
      </c>
      <c r="AB143" s="12">
        <f t="shared" ca="1" si="8"/>
        <v>50</v>
      </c>
      <c r="AC143" s="12">
        <f>[1]!Table1[[#This Row],[Kidhome]]+[1]!Table1[[#This Row],[Teenhome]]</f>
        <v>1</v>
      </c>
      <c r="AD143" s="12">
        <f t="shared" si="9"/>
        <v>1053</v>
      </c>
      <c r="AE143" s="12">
        <f t="shared" si="10"/>
        <v>10</v>
      </c>
      <c r="AF143" s="15">
        <f t="shared" si="11"/>
        <v>10</v>
      </c>
    </row>
    <row r="144" spans="1:32" x14ac:dyDescent="0.3">
      <c r="A144" s="6">
        <v>8690</v>
      </c>
      <c r="B144" s="7">
        <v>1962</v>
      </c>
      <c r="C144" s="7" t="s">
        <v>32</v>
      </c>
      <c r="D144" s="7" t="s">
        <v>36</v>
      </c>
      <c r="E144" s="8">
        <v>86111</v>
      </c>
      <c r="F144" s="7">
        <v>0</v>
      </c>
      <c r="G144" s="7">
        <v>0</v>
      </c>
      <c r="H144" s="9">
        <v>41383</v>
      </c>
      <c r="I144" s="7">
        <v>73</v>
      </c>
      <c r="J144" s="7">
        <v>399</v>
      </c>
      <c r="K144" s="7">
        <v>28</v>
      </c>
      <c r="L144" s="7">
        <v>756</v>
      </c>
      <c r="M144" s="7">
        <v>36</v>
      </c>
      <c r="N144" s="7">
        <v>40</v>
      </c>
      <c r="O144" s="7">
        <v>126</v>
      </c>
      <c r="P144" s="7">
        <v>1</v>
      </c>
      <c r="Q144" s="7">
        <v>5</v>
      </c>
      <c r="R144" s="7">
        <v>7</v>
      </c>
      <c r="S144" s="7">
        <v>10</v>
      </c>
      <c r="T144" s="7">
        <v>2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f t="shared" ca="1" si="8"/>
        <v>64</v>
      </c>
      <c r="AC144" s="7">
        <f>[1]!Table1[[#This Row],[Kidhome]]+[1]!Table1[[#This Row],[Teenhome]]</f>
        <v>0</v>
      </c>
      <c r="AD144" s="7">
        <f t="shared" si="9"/>
        <v>1385</v>
      </c>
      <c r="AE144" s="7">
        <f t="shared" si="10"/>
        <v>13</v>
      </c>
      <c r="AF144" s="10">
        <f t="shared" si="11"/>
        <v>13</v>
      </c>
    </row>
    <row r="145" spans="1:32" x14ac:dyDescent="0.3">
      <c r="A145" s="11">
        <v>2937</v>
      </c>
      <c r="B145" s="12">
        <v>1974</v>
      </c>
      <c r="C145" s="12" t="s">
        <v>35</v>
      </c>
      <c r="D145" s="12" t="s">
        <v>33</v>
      </c>
      <c r="E145" s="13">
        <v>68352</v>
      </c>
      <c r="F145" s="12">
        <v>0</v>
      </c>
      <c r="G145" s="12">
        <v>1</v>
      </c>
      <c r="H145" s="14">
        <v>41514</v>
      </c>
      <c r="I145" s="12">
        <v>47</v>
      </c>
      <c r="J145" s="12">
        <v>614</v>
      </c>
      <c r="K145" s="12">
        <v>16</v>
      </c>
      <c r="L145" s="12">
        <v>132</v>
      </c>
      <c r="M145" s="12">
        <v>43</v>
      </c>
      <c r="N145" s="12">
        <v>33</v>
      </c>
      <c r="O145" s="12">
        <v>33</v>
      </c>
      <c r="P145" s="12">
        <v>3</v>
      </c>
      <c r="Q145" s="12">
        <v>8</v>
      </c>
      <c r="R145" s="12">
        <v>5</v>
      </c>
      <c r="S145" s="12">
        <v>9</v>
      </c>
      <c r="T145" s="12">
        <v>6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f t="shared" ca="1" si="8"/>
        <v>52</v>
      </c>
      <c r="AC145" s="12">
        <f>[1]!Table1[[#This Row],[Kidhome]]+[1]!Table1[[#This Row],[Teenhome]]</f>
        <v>1</v>
      </c>
      <c r="AD145" s="12">
        <f t="shared" si="9"/>
        <v>871</v>
      </c>
      <c r="AE145" s="12">
        <f t="shared" si="10"/>
        <v>16</v>
      </c>
      <c r="AF145" s="15">
        <f t="shared" si="11"/>
        <v>16</v>
      </c>
    </row>
    <row r="146" spans="1:32" x14ac:dyDescent="0.3">
      <c r="A146" s="6">
        <v>9701</v>
      </c>
      <c r="B146" s="7">
        <v>1988</v>
      </c>
      <c r="C146" s="7" t="s">
        <v>32</v>
      </c>
      <c r="D146" s="7" t="s">
        <v>34</v>
      </c>
      <c r="E146" s="8">
        <v>41883</v>
      </c>
      <c r="F146" s="7">
        <v>1</v>
      </c>
      <c r="G146" s="7">
        <v>0</v>
      </c>
      <c r="H146" s="9">
        <v>41352</v>
      </c>
      <c r="I146" s="7">
        <v>13</v>
      </c>
      <c r="J146" s="7">
        <v>32</v>
      </c>
      <c r="K146" s="7">
        <v>34</v>
      </c>
      <c r="L146" s="7">
        <v>41</v>
      </c>
      <c r="M146" s="7">
        <v>73</v>
      </c>
      <c r="N146" s="7">
        <v>16</v>
      </c>
      <c r="O146" s="7">
        <v>116</v>
      </c>
      <c r="P146" s="7">
        <v>3</v>
      </c>
      <c r="Q146" s="7">
        <v>4</v>
      </c>
      <c r="R146" s="7">
        <v>2</v>
      </c>
      <c r="S146" s="7">
        <v>3</v>
      </c>
      <c r="T146" s="7">
        <v>7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f t="shared" ca="1" si="8"/>
        <v>38</v>
      </c>
      <c r="AC146" s="7">
        <f>[1]!Table1[[#This Row],[Kidhome]]+[1]!Table1[[#This Row],[Teenhome]]</f>
        <v>1</v>
      </c>
      <c r="AD146" s="7">
        <f t="shared" si="9"/>
        <v>312</v>
      </c>
      <c r="AE146" s="7">
        <f t="shared" si="10"/>
        <v>9</v>
      </c>
      <c r="AF146" s="10">
        <f t="shared" si="11"/>
        <v>9</v>
      </c>
    </row>
    <row r="147" spans="1:32" x14ac:dyDescent="0.3">
      <c r="A147" s="11">
        <v>9949</v>
      </c>
      <c r="B147" s="12">
        <v>1976</v>
      </c>
      <c r="C147" s="12" t="s">
        <v>32</v>
      </c>
      <c r="D147" s="12" t="s">
        <v>36</v>
      </c>
      <c r="E147" s="13">
        <v>59809</v>
      </c>
      <c r="F147" s="12">
        <v>0</v>
      </c>
      <c r="G147" s="12">
        <v>2</v>
      </c>
      <c r="H147" s="14">
        <v>41200</v>
      </c>
      <c r="I147" s="12">
        <v>36</v>
      </c>
      <c r="J147" s="12">
        <v>598</v>
      </c>
      <c r="K147" s="12">
        <v>16</v>
      </c>
      <c r="L147" s="12">
        <v>141</v>
      </c>
      <c r="M147" s="12">
        <v>32</v>
      </c>
      <c r="N147" s="12">
        <v>41</v>
      </c>
      <c r="O147" s="12">
        <v>49</v>
      </c>
      <c r="P147" s="12">
        <v>3</v>
      </c>
      <c r="Q147" s="12">
        <v>3</v>
      </c>
      <c r="R147" s="12">
        <v>3</v>
      </c>
      <c r="S147" s="12">
        <v>6</v>
      </c>
      <c r="T147" s="12">
        <v>8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f t="shared" ca="1" si="8"/>
        <v>50</v>
      </c>
      <c r="AC147" s="12">
        <f>[1]!Table1[[#This Row],[Kidhome]]+[1]!Table1[[#This Row],[Teenhome]]</f>
        <v>2</v>
      </c>
      <c r="AD147" s="12">
        <f t="shared" si="9"/>
        <v>877</v>
      </c>
      <c r="AE147" s="12">
        <f t="shared" si="10"/>
        <v>9</v>
      </c>
      <c r="AF147" s="15">
        <f t="shared" si="11"/>
        <v>9</v>
      </c>
    </row>
    <row r="148" spans="1:32" x14ac:dyDescent="0.3">
      <c r="A148" s="6">
        <v>10837</v>
      </c>
      <c r="B148" s="7">
        <v>1975</v>
      </c>
      <c r="C148" s="7" t="s">
        <v>32</v>
      </c>
      <c r="D148" s="7" t="s">
        <v>36</v>
      </c>
      <c r="E148" s="8">
        <v>23957</v>
      </c>
      <c r="F148" s="7">
        <v>1</v>
      </c>
      <c r="G148" s="7">
        <v>0</v>
      </c>
      <c r="H148" s="9">
        <v>41210</v>
      </c>
      <c r="I148" s="7">
        <v>47</v>
      </c>
      <c r="J148" s="7">
        <v>2</v>
      </c>
      <c r="K148" s="7">
        <v>1</v>
      </c>
      <c r="L148" s="7">
        <v>18</v>
      </c>
      <c r="M148" s="7">
        <v>20</v>
      </c>
      <c r="N148" s="7">
        <v>11</v>
      </c>
      <c r="O148" s="7">
        <v>16</v>
      </c>
      <c r="P148" s="7">
        <v>1</v>
      </c>
      <c r="Q148" s="7">
        <v>2</v>
      </c>
      <c r="R148" s="7">
        <v>0</v>
      </c>
      <c r="S148" s="7">
        <v>3</v>
      </c>
      <c r="T148" s="7">
        <v>6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1</v>
      </c>
      <c r="AB148" s="7">
        <f t="shared" ca="1" si="8"/>
        <v>51</v>
      </c>
      <c r="AC148" s="7">
        <f>[1]!Table1[[#This Row],[Kidhome]]+[1]!Table1[[#This Row],[Teenhome]]</f>
        <v>1</v>
      </c>
      <c r="AD148" s="7">
        <f t="shared" si="9"/>
        <v>68</v>
      </c>
      <c r="AE148" s="7">
        <f t="shared" si="10"/>
        <v>3</v>
      </c>
      <c r="AF148" s="10">
        <f t="shared" si="11"/>
        <v>3</v>
      </c>
    </row>
    <row r="149" spans="1:32" x14ac:dyDescent="0.3">
      <c r="A149" s="11">
        <v>3120</v>
      </c>
      <c r="B149" s="12">
        <v>1981</v>
      </c>
      <c r="C149" s="12" t="s">
        <v>32</v>
      </c>
      <c r="D149" s="12" t="s">
        <v>34</v>
      </c>
      <c r="E149" s="13">
        <v>38547</v>
      </c>
      <c r="F149" s="12">
        <v>1</v>
      </c>
      <c r="G149" s="12">
        <v>0</v>
      </c>
      <c r="H149" s="14">
        <v>41514</v>
      </c>
      <c r="I149" s="12">
        <v>49</v>
      </c>
      <c r="J149" s="12">
        <v>6</v>
      </c>
      <c r="K149" s="12">
        <v>1</v>
      </c>
      <c r="L149" s="12">
        <v>10</v>
      </c>
      <c r="M149" s="12">
        <v>0</v>
      </c>
      <c r="N149" s="12">
        <v>1</v>
      </c>
      <c r="O149" s="12">
        <v>4</v>
      </c>
      <c r="P149" s="12">
        <v>1</v>
      </c>
      <c r="Q149" s="12">
        <v>1</v>
      </c>
      <c r="R149" s="12">
        <v>0</v>
      </c>
      <c r="S149" s="12">
        <v>2</v>
      </c>
      <c r="T149" s="12">
        <v>8</v>
      </c>
      <c r="U149" s="12">
        <v>0</v>
      </c>
      <c r="V149" s="12">
        <v>0</v>
      </c>
      <c r="W149" s="12">
        <v>0</v>
      </c>
      <c r="X149" s="12">
        <v>0</v>
      </c>
      <c r="Y149" s="12">
        <v>0</v>
      </c>
      <c r="Z149" s="12">
        <v>1</v>
      </c>
      <c r="AA149" s="12">
        <v>0</v>
      </c>
      <c r="AB149" s="12">
        <f t="shared" ca="1" si="8"/>
        <v>45</v>
      </c>
      <c r="AC149" s="12">
        <f>[1]!Table1[[#This Row],[Kidhome]]+[1]!Table1[[#This Row],[Teenhome]]</f>
        <v>1</v>
      </c>
      <c r="AD149" s="12">
        <f t="shared" si="9"/>
        <v>22</v>
      </c>
      <c r="AE149" s="12">
        <f t="shared" si="10"/>
        <v>2</v>
      </c>
      <c r="AF149" s="15">
        <f t="shared" si="11"/>
        <v>2</v>
      </c>
    </row>
    <row r="150" spans="1:32" x14ac:dyDescent="0.3">
      <c r="A150" s="6">
        <v>5885</v>
      </c>
      <c r="B150" s="7">
        <v>1973</v>
      </c>
      <c r="C150" s="7" t="s">
        <v>40</v>
      </c>
      <c r="D150" s="7" t="s">
        <v>36</v>
      </c>
      <c r="E150" s="8">
        <v>35688</v>
      </c>
      <c r="F150" s="7">
        <v>2</v>
      </c>
      <c r="G150" s="7">
        <v>1</v>
      </c>
      <c r="H150" s="9">
        <v>41143</v>
      </c>
      <c r="I150" s="7">
        <v>94</v>
      </c>
      <c r="J150" s="7">
        <v>73</v>
      </c>
      <c r="K150" s="7">
        <v>3</v>
      </c>
      <c r="L150" s="7">
        <v>90</v>
      </c>
      <c r="M150" s="7">
        <v>12</v>
      </c>
      <c r="N150" s="7">
        <v>1</v>
      </c>
      <c r="O150" s="7">
        <v>32</v>
      </c>
      <c r="P150" s="7">
        <v>7</v>
      </c>
      <c r="Q150" s="7">
        <v>4</v>
      </c>
      <c r="R150" s="7">
        <v>1</v>
      </c>
      <c r="S150" s="7">
        <v>4</v>
      </c>
      <c r="T150" s="7">
        <v>8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f t="shared" ca="1" si="8"/>
        <v>53</v>
      </c>
      <c r="AC150" s="7">
        <f>[1]!Table1[[#This Row],[Kidhome]]+[1]!Table1[[#This Row],[Teenhome]]</f>
        <v>3</v>
      </c>
      <c r="AD150" s="7">
        <f t="shared" si="9"/>
        <v>211</v>
      </c>
      <c r="AE150" s="7">
        <f t="shared" si="10"/>
        <v>12</v>
      </c>
      <c r="AF150" s="10">
        <f t="shared" si="11"/>
        <v>12</v>
      </c>
    </row>
    <row r="151" spans="1:32" x14ac:dyDescent="0.3">
      <c r="A151" s="11">
        <v>4050</v>
      </c>
      <c r="B151" s="12">
        <v>1966</v>
      </c>
      <c r="C151" s="12" t="s">
        <v>37</v>
      </c>
      <c r="D151" s="12" t="s">
        <v>36</v>
      </c>
      <c r="E151" s="13">
        <v>49605</v>
      </c>
      <c r="F151" s="12">
        <v>0</v>
      </c>
      <c r="G151" s="12">
        <v>0</v>
      </c>
      <c r="H151" s="14">
        <v>41811</v>
      </c>
      <c r="I151" s="12">
        <v>65</v>
      </c>
      <c r="J151" s="12">
        <v>42</v>
      </c>
      <c r="K151" s="12">
        <v>16</v>
      </c>
      <c r="L151" s="12">
        <v>29</v>
      </c>
      <c r="M151" s="12">
        <v>12</v>
      </c>
      <c r="N151" s="12">
        <v>20</v>
      </c>
      <c r="O151" s="12">
        <v>8</v>
      </c>
      <c r="P151" s="12">
        <v>1</v>
      </c>
      <c r="Q151" s="12">
        <v>2</v>
      </c>
      <c r="R151" s="12">
        <v>1</v>
      </c>
      <c r="S151" s="12">
        <v>4</v>
      </c>
      <c r="T151" s="12">
        <v>3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f t="shared" ca="1" si="8"/>
        <v>60</v>
      </c>
      <c r="AC151" s="12">
        <f>[1]!Table1[[#This Row],[Kidhome]]+[1]!Table1[[#This Row],[Teenhome]]</f>
        <v>0</v>
      </c>
      <c r="AD151" s="12">
        <f t="shared" si="9"/>
        <v>127</v>
      </c>
      <c r="AE151" s="12">
        <f t="shared" si="10"/>
        <v>4</v>
      </c>
      <c r="AF151" s="15">
        <f t="shared" si="11"/>
        <v>4</v>
      </c>
    </row>
    <row r="152" spans="1:32" x14ac:dyDescent="0.3">
      <c r="A152" s="6">
        <v>3830</v>
      </c>
      <c r="B152" s="7">
        <v>1953</v>
      </c>
      <c r="C152" s="7" t="s">
        <v>37</v>
      </c>
      <c r="D152" s="7" t="s">
        <v>36</v>
      </c>
      <c r="E152" s="8">
        <v>59354</v>
      </c>
      <c r="F152" s="7">
        <v>0</v>
      </c>
      <c r="G152" s="7">
        <v>2</v>
      </c>
      <c r="H152" s="9">
        <v>41753</v>
      </c>
      <c r="I152" s="7">
        <v>59</v>
      </c>
      <c r="J152" s="7">
        <v>295</v>
      </c>
      <c r="K152" s="7">
        <v>21</v>
      </c>
      <c r="L152" s="7">
        <v>78</v>
      </c>
      <c r="M152" s="7">
        <v>39</v>
      </c>
      <c r="N152" s="7">
        <v>13</v>
      </c>
      <c r="O152" s="7">
        <v>13</v>
      </c>
      <c r="P152" s="7">
        <v>1</v>
      </c>
      <c r="Q152" s="7">
        <v>4</v>
      </c>
      <c r="R152" s="7">
        <v>4</v>
      </c>
      <c r="S152" s="7">
        <v>7</v>
      </c>
      <c r="T152" s="7">
        <v>3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f t="shared" ca="1" si="8"/>
        <v>73</v>
      </c>
      <c r="AC152" s="7">
        <f>[1]!Table1[[#This Row],[Kidhome]]+[1]!Table1[[#This Row],[Teenhome]]</f>
        <v>2</v>
      </c>
      <c r="AD152" s="7">
        <f t="shared" si="9"/>
        <v>459</v>
      </c>
      <c r="AE152" s="7">
        <f t="shared" si="10"/>
        <v>9</v>
      </c>
      <c r="AF152" s="10">
        <f t="shared" si="11"/>
        <v>9</v>
      </c>
    </row>
    <row r="153" spans="1:32" x14ac:dyDescent="0.3">
      <c r="A153" s="11">
        <v>7987</v>
      </c>
      <c r="B153" s="12">
        <v>1969</v>
      </c>
      <c r="C153" s="12" t="s">
        <v>32</v>
      </c>
      <c r="D153" s="12" t="s">
        <v>36</v>
      </c>
      <c r="E153" s="13">
        <v>65747</v>
      </c>
      <c r="F153" s="12">
        <v>0</v>
      </c>
      <c r="G153" s="12">
        <v>1</v>
      </c>
      <c r="H153" s="14">
        <v>41705</v>
      </c>
      <c r="I153" s="12">
        <v>96</v>
      </c>
      <c r="J153" s="12">
        <v>346</v>
      </c>
      <c r="K153" s="12">
        <v>17</v>
      </c>
      <c r="L153" s="12">
        <v>48</v>
      </c>
      <c r="M153" s="12">
        <v>23</v>
      </c>
      <c r="N153" s="12">
        <v>13</v>
      </c>
      <c r="O153" s="12">
        <v>13</v>
      </c>
      <c r="P153" s="12">
        <v>4</v>
      </c>
      <c r="Q153" s="12">
        <v>8</v>
      </c>
      <c r="R153" s="12">
        <v>1</v>
      </c>
      <c r="S153" s="12">
        <v>6</v>
      </c>
      <c r="T153" s="12">
        <v>6</v>
      </c>
      <c r="U153" s="12">
        <v>0</v>
      </c>
      <c r="V153" s="12">
        <v>1</v>
      </c>
      <c r="W153" s="12">
        <v>0</v>
      </c>
      <c r="X153" s="12">
        <v>0</v>
      </c>
      <c r="Y153" s="12">
        <v>0</v>
      </c>
      <c r="Z153" s="12">
        <v>0</v>
      </c>
      <c r="AA153" s="12">
        <v>0</v>
      </c>
      <c r="AB153" s="12">
        <f t="shared" ca="1" si="8"/>
        <v>57</v>
      </c>
      <c r="AC153" s="12">
        <f>[1]!Table1[[#This Row],[Kidhome]]+[1]!Table1[[#This Row],[Teenhome]]</f>
        <v>1</v>
      </c>
      <c r="AD153" s="12">
        <f t="shared" si="9"/>
        <v>460</v>
      </c>
      <c r="AE153" s="12">
        <f t="shared" si="10"/>
        <v>13</v>
      </c>
      <c r="AF153" s="15">
        <f t="shared" si="11"/>
        <v>13</v>
      </c>
    </row>
    <row r="154" spans="1:32" x14ac:dyDescent="0.3">
      <c r="A154" s="6">
        <v>7798</v>
      </c>
      <c r="B154" s="7">
        <v>1972</v>
      </c>
      <c r="C154" s="7" t="s">
        <v>40</v>
      </c>
      <c r="D154" s="7" t="s">
        <v>34</v>
      </c>
      <c r="E154" s="8">
        <v>46344</v>
      </c>
      <c r="F154" s="7">
        <v>0</v>
      </c>
      <c r="G154" s="7">
        <v>1</v>
      </c>
      <c r="H154" s="9">
        <v>41257</v>
      </c>
      <c r="I154" s="7">
        <v>28</v>
      </c>
      <c r="J154" s="7">
        <v>233</v>
      </c>
      <c r="K154" s="7">
        <v>20</v>
      </c>
      <c r="L154" s="7">
        <v>57</v>
      </c>
      <c r="M154" s="7">
        <v>8</v>
      </c>
      <c r="N154" s="7">
        <v>20</v>
      </c>
      <c r="O154" s="7">
        <v>91</v>
      </c>
      <c r="P154" s="7">
        <v>4</v>
      </c>
      <c r="Q154" s="7">
        <v>7</v>
      </c>
      <c r="R154" s="7">
        <v>1</v>
      </c>
      <c r="S154" s="7">
        <v>5</v>
      </c>
      <c r="T154" s="7">
        <v>7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f t="shared" ca="1" si="8"/>
        <v>54</v>
      </c>
      <c r="AC154" s="7">
        <f>[1]!Table1[[#This Row],[Kidhome]]+[1]!Table1[[#This Row],[Teenhome]]</f>
        <v>1</v>
      </c>
      <c r="AD154" s="7">
        <f t="shared" si="9"/>
        <v>429</v>
      </c>
      <c r="AE154" s="7">
        <f t="shared" si="10"/>
        <v>12</v>
      </c>
      <c r="AF154" s="10">
        <f t="shared" si="11"/>
        <v>12</v>
      </c>
    </row>
    <row r="155" spans="1:32" x14ac:dyDescent="0.3">
      <c r="A155" s="11">
        <v>92</v>
      </c>
      <c r="B155" s="12">
        <v>1988</v>
      </c>
      <c r="C155" s="12" t="s">
        <v>32</v>
      </c>
      <c r="D155" s="12" t="s">
        <v>33</v>
      </c>
      <c r="E155" s="13">
        <v>34176</v>
      </c>
      <c r="F155" s="12">
        <v>1</v>
      </c>
      <c r="G155" s="12">
        <v>0</v>
      </c>
      <c r="H155" s="14">
        <v>41771</v>
      </c>
      <c r="I155" s="12">
        <v>12</v>
      </c>
      <c r="J155" s="12">
        <v>5</v>
      </c>
      <c r="K155" s="12">
        <v>7</v>
      </c>
      <c r="L155" s="12">
        <v>24</v>
      </c>
      <c r="M155" s="12">
        <v>19</v>
      </c>
      <c r="N155" s="12">
        <v>14</v>
      </c>
      <c r="O155" s="12">
        <v>20</v>
      </c>
      <c r="P155" s="12">
        <v>4</v>
      </c>
      <c r="Q155" s="12">
        <v>3</v>
      </c>
      <c r="R155" s="12">
        <v>0</v>
      </c>
      <c r="S155" s="12">
        <v>4</v>
      </c>
      <c r="T155" s="12">
        <v>6</v>
      </c>
      <c r="U155" s="12">
        <v>0</v>
      </c>
      <c r="V155" s="12">
        <v>0</v>
      </c>
      <c r="W155" s="12">
        <v>0</v>
      </c>
      <c r="X155" s="12">
        <v>0</v>
      </c>
      <c r="Y155" s="12">
        <v>0</v>
      </c>
      <c r="Z155" s="12">
        <v>0</v>
      </c>
      <c r="AA155" s="12">
        <v>0</v>
      </c>
      <c r="AB155" s="12">
        <f t="shared" ca="1" si="8"/>
        <v>38</v>
      </c>
      <c r="AC155" s="12">
        <f>[1]!Table1[[#This Row],[Kidhome]]+[1]!Table1[[#This Row],[Teenhome]]</f>
        <v>1</v>
      </c>
      <c r="AD155" s="12">
        <f t="shared" si="9"/>
        <v>89</v>
      </c>
      <c r="AE155" s="12">
        <f t="shared" si="10"/>
        <v>7</v>
      </c>
      <c r="AF155" s="15">
        <f t="shared" si="11"/>
        <v>7</v>
      </c>
    </row>
    <row r="156" spans="1:32" x14ac:dyDescent="0.3">
      <c r="A156" s="6">
        <v>7055</v>
      </c>
      <c r="B156" s="7">
        <v>1952</v>
      </c>
      <c r="C156" s="7" t="s">
        <v>35</v>
      </c>
      <c r="D156" s="7" t="s">
        <v>34</v>
      </c>
      <c r="E156" s="8">
        <v>61010</v>
      </c>
      <c r="F156" s="7">
        <v>0</v>
      </c>
      <c r="G156" s="7">
        <v>1</v>
      </c>
      <c r="H156" s="9">
        <v>41191</v>
      </c>
      <c r="I156" s="7">
        <v>57</v>
      </c>
      <c r="J156" s="7">
        <v>888</v>
      </c>
      <c r="K156" s="7">
        <v>0</v>
      </c>
      <c r="L156" s="7">
        <v>57</v>
      </c>
      <c r="M156" s="7">
        <v>0</v>
      </c>
      <c r="N156" s="7">
        <v>0</v>
      </c>
      <c r="O156" s="7">
        <v>76</v>
      </c>
      <c r="P156" s="7">
        <v>2</v>
      </c>
      <c r="Q156" s="7">
        <v>8</v>
      </c>
      <c r="R156" s="7">
        <v>5</v>
      </c>
      <c r="S156" s="7">
        <v>11</v>
      </c>
      <c r="T156" s="7">
        <v>5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f t="shared" ca="1" si="8"/>
        <v>74</v>
      </c>
      <c r="AC156" s="7">
        <f>[1]!Table1[[#This Row],[Kidhome]]+[1]!Table1[[#This Row],[Teenhome]]</f>
        <v>1</v>
      </c>
      <c r="AD156" s="7">
        <f t="shared" si="9"/>
        <v>1021</v>
      </c>
      <c r="AE156" s="7">
        <f t="shared" si="10"/>
        <v>15</v>
      </c>
      <c r="AF156" s="10">
        <f t="shared" si="11"/>
        <v>15</v>
      </c>
    </row>
    <row r="157" spans="1:32" x14ac:dyDescent="0.3">
      <c r="A157" s="11">
        <v>10240</v>
      </c>
      <c r="B157" s="12">
        <v>1949</v>
      </c>
      <c r="C157" s="12" t="s">
        <v>32</v>
      </c>
      <c r="D157" s="12" t="s">
        <v>34</v>
      </c>
      <c r="E157" s="13">
        <v>69372</v>
      </c>
      <c r="F157" s="12">
        <v>0</v>
      </c>
      <c r="G157" s="12">
        <v>0</v>
      </c>
      <c r="H157" s="14">
        <v>41324</v>
      </c>
      <c r="I157" s="12">
        <v>10</v>
      </c>
      <c r="J157" s="12">
        <v>997</v>
      </c>
      <c r="K157" s="12">
        <v>26</v>
      </c>
      <c r="L157" s="12">
        <v>269</v>
      </c>
      <c r="M157" s="12">
        <v>34</v>
      </c>
      <c r="N157" s="12">
        <v>13</v>
      </c>
      <c r="O157" s="12">
        <v>42</v>
      </c>
      <c r="P157" s="12">
        <v>1</v>
      </c>
      <c r="Q157" s="12">
        <v>10</v>
      </c>
      <c r="R157" s="12">
        <v>4</v>
      </c>
      <c r="S157" s="12">
        <v>6</v>
      </c>
      <c r="T157" s="12">
        <v>4</v>
      </c>
      <c r="U157" s="12">
        <v>0</v>
      </c>
      <c r="V157" s="12">
        <v>1</v>
      </c>
      <c r="W157" s="12">
        <v>1</v>
      </c>
      <c r="X157" s="12">
        <v>0</v>
      </c>
      <c r="Y157" s="12">
        <v>0</v>
      </c>
      <c r="Z157" s="12">
        <v>0</v>
      </c>
      <c r="AA157" s="12">
        <v>1</v>
      </c>
      <c r="AB157" s="12">
        <f t="shared" ca="1" si="8"/>
        <v>77</v>
      </c>
      <c r="AC157" s="12">
        <f>[1]!Table1[[#This Row],[Kidhome]]+[1]!Table1[[#This Row],[Teenhome]]</f>
        <v>0</v>
      </c>
      <c r="AD157" s="12">
        <f t="shared" si="9"/>
        <v>1381</v>
      </c>
      <c r="AE157" s="12">
        <f t="shared" si="10"/>
        <v>15</v>
      </c>
      <c r="AF157" s="15">
        <f t="shared" si="11"/>
        <v>15</v>
      </c>
    </row>
    <row r="158" spans="1:32" x14ac:dyDescent="0.3">
      <c r="A158" s="6">
        <v>3025</v>
      </c>
      <c r="B158" s="7">
        <v>1958</v>
      </c>
      <c r="C158" s="7" t="s">
        <v>32</v>
      </c>
      <c r="D158" s="7" t="s">
        <v>33</v>
      </c>
      <c r="E158" s="8">
        <v>49967</v>
      </c>
      <c r="F158" s="7">
        <v>0</v>
      </c>
      <c r="G158" s="7">
        <v>1</v>
      </c>
      <c r="H158" s="9">
        <v>41463</v>
      </c>
      <c r="I158" s="7">
        <v>4</v>
      </c>
      <c r="J158" s="7">
        <v>212</v>
      </c>
      <c r="K158" s="7">
        <v>6</v>
      </c>
      <c r="L158" s="7">
        <v>69</v>
      </c>
      <c r="M158" s="7">
        <v>4</v>
      </c>
      <c r="N158" s="7">
        <v>12</v>
      </c>
      <c r="O158" s="7">
        <v>3</v>
      </c>
      <c r="P158" s="7">
        <v>3</v>
      </c>
      <c r="Q158" s="7">
        <v>6</v>
      </c>
      <c r="R158" s="7">
        <v>1</v>
      </c>
      <c r="S158" s="7">
        <v>5</v>
      </c>
      <c r="T158" s="7">
        <v>7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f t="shared" ca="1" si="8"/>
        <v>68</v>
      </c>
      <c r="AC158" s="7">
        <f>[1]!Table1[[#This Row],[Kidhome]]+[1]!Table1[[#This Row],[Teenhome]]</f>
        <v>1</v>
      </c>
      <c r="AD158" s="7">
        <f t="shared" si="9"/>
        <v>306</v>
      </c>
      <c r="AE158" s="7">
        <f t="shared" si="10"/>
        <v>10</v>
      </c>
      <c r="AF158" s="10">
        <f t="shared" si="11"/>
        <v>10</v>
      </c>
    </row>
    <row r="159" spans="1:32" x14ac:dyDescent="0.3">
      <c r="A159" s="11">
        <v>9283</v>
      </c>
      <c r="B159" s="12">
        <v>1978</v>
      </c>
      <c r="C159" s="12" t="s">
        <v>32</v>
      </c>
      <c r="D159" s="12" t="s">
        <v>33</v>
      </c>
      <c r="E159" s="13">
        <v>60199</v>
      </c>
      <c r="F159" s="12">
        <v>1</v>
      </c>
      <c r="G159" s="12">
        <v>2</v>
      </c>
      <c r="H159" s="14">
        <v>41529</v>
      </c>
      <c r="I159" s="12">
        <v>49</v>
      </c>
      <c r="J159" s="12">
        <v>8</v>
      </c>
      <c r="K159" s="12">
        <v>1</v>
      </c>
      <c r="L159" s="12">
        <v>7</v>
      </c>
      <c r="M159" s="12">
        <v>2</v>
      </c>
      <c r="N159" s="12">
        <v>0</v>
      </c>
      <c r="O159" s="12">
        <v>0</v>
      </c>
      <c r="P159" s="12">
        <v>1</v>
      </c>
      <c r="Q159" s="12">
        <v>0</v>
      </c>
      <c r="R159" s="12">
        <v>0</v>
      </c>
      <c r="S159" s="12">
        <v>3</v>
      </c>
      <c r="T159" s="12">
        <v>4</v>
      </c>
      <c r="U159" s="12">
        <v>0</v>
      </c>
      <c r="V159" s="12">
        <v>0</v>
      </c>
      <c r="W159" s="12">
        <v>0</v>
      </c>
      <c r="X159" s="12">
        <v>0</v>
      </c>
      <c r="Y159" s="12">
        <v>0</v>
      </c>
      <c r="Z159" s="12">
        <v>0</v>
      </c>
      <c r="AA159" s="12">
        <v>0</v>
      </c>
      <c r="AB159" s="12">
        <f t="shared" ca="1" si="8"/>
        <v>48</v>
      </c>
      <c r="AC159" s="12">
        <f>[1]!Table1[[#This Row],[Kidhome]]+[1]!Table1[[#This Row],[Teenhome]]</f>
        <v>3</v>
      </c>
      <c r="AD159" s="12">
        <f t="shared" si="9"/>
        <v>18</v>
      </c>
      <c r="AE159" s="12">
        <f t="shared" si="10"/>
        <v>1</v>
      </c>
      <c r="AF159" s="15">
        <f t="shared" si="11"/>
        <v>1</v>
      </c>
    </row>
    <row r="160" spans="1:32" x14ac:dyDescent="0.3">
      <c r="A160" s="6">
        <v>9970</v>
      </c>
      <c r="B160" s="7">
        <v>1977</v>
      </c>
      <c r="C160" s="7" t="s">
        <v>32</v>
      </c>
      <c r="D160" s="7" t="s">
        <v>34</v>
      </c>
      <c r="E160" s="8">
        <v>55375</v>
      </c>
      <c r="F160" s="7">
        <v>0</v>
      </c>
      <c r="G160" s="7">
        <v>1</v>
      </c>
      <c r="H160" s="9">
        <v>41564</v>
      </c>
      <c r="I160" s="7">
        <v>3</v>
      </c>
      <c r="J160" s="7">
        <v>42</v>
      </c>
      <c r="K160" s="7">
        <v>11</v>
      </c>
      <c r="L160" s="7">
        <v>57</v>
      </c>
      <c r="M160" s="7">
        <v>10</v>
      </c>
      <c r="N160" s="7">
        <v>28</v>
      </c>
      <c r="O160" s="7">
        <v>14</v>
      </c>
      <c r="P160" s="7">
        <v>1</v>
      </c>
      <c r="Q160" s="7">
        <v>1</v>
      </c>
      <c r="R160" s="7">
        <v>1</v>
      </c>
      <c r="S160" s="7">
        <v>6</v>
      </c>
      <c r="T160" s="7">
        <v>2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f t="shared" ca="1" si="8"/>
        <v>49</v>
      </c>
      <c r="AC160" s="7">
        <f>[1]!Table1[[#This Row],[Kidhome]]+[1]!Table1[[#This Row],[Teenhome]]</f>
        <v>1</v>
      </c>
      <c r="AD160" s="7">
        <f t="shared" si="9"/>
        <v>162</v>
      </c>
      <c r="AE160" s="7">
        <f t="shared" si="10"/>
        <v>3</v>
      </c>
      <c r="AF160" s="10">
        <f t="shared" si="11"/>
        <v>3</v>
      </c>
    </row>
    <row r="161" spans="1:32" x14ac:dyDescent="0.3">
      <c r="A161" s="11">
        <v>2730</v>
      </c>
      <c r="B161" s="12">
        <v>1955</v>
      </c>
      <c r="C161" s="12" t="s">
        <v>32</v>
      </c>
      <c r="D161" s="12" t="s">
        <v>33</v>
      </c>
      <c r="E161" s="13">
        <v>80317</v>
      </c>
      <c r="F161" s="12">
        <v>0</v>
      </c>
      <c r="G161" s="12">
        <v>0</v>
      </c>
      <c r="H161" s="14">
        <v>41506</v>
      </c>
      <c r="I161" s="12">
        <v>64</v>
      </c>
      <c r="J161" s="12">
        <v>536</v>
      </c>
      <c r="K161" s="12">
        <v>11</v>
      </c>
      <c r="L161" s="12">
        <v>387</v>
      </c>
      <c r="M161" s="12">
        <v>149</v>
      </c>
      <c r="N161" s="12">
        <v>91</v>
      </c>
      <c r="O161" s="12">
        <v>57</v>
      </c>
      <c r="P161" s="12">
        <v>1</v>
      </c>
      <c r="Q161" s="12">
        <v>3</v>
      </c>
      <c r="R161" s="12">
        <v>4</v>
      </c>
      <c r="S161" s="12">
        <v>10</v>
      </c>
      <c r="T161" s="12">
        <v>1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  <c r="Z161" s="12">
        <v>0</v>
      </c>
      <c r="AA161" s="12">
        <v>0</v>
      </c>
      <c r="AB161" s="12">
        <f t="shared" ca="1" si="8"/>
        <v>71</v>
      </c>
      <c r="AC161" s="12">
        <f>[1]!Table1[[#This Row],[Kidhome]]+[1]!Table1[[#This Row],[Teenhome]]</f>
        <v>0</v>
      </c>
      <c r="AD161" s="12">
        <f t="shared" si="9"/>
        <v>1231</v>
      </c>
      <c r="AE161" s="12">
        <f t="shared" si="10"/>
        <v>8</v>
      </c>
      <c r="AF161" s="15">
        <f t="shared" si="11"/>
        <v>8</v>
      </c>
    </row>
    <row r="162" spans="1:32" x14ac:dyDescent="0.3">
      <c r="A162" s="6">
        <v>2795</v>
      </c>
      <c r="B162" s="7">
        <v>1958</v>
      </c>
      <c r="C162" s="7" t="s">
        <v>37</v>
      </c>
      <c r="D162" s="7" t="s">
        <v>33</v>
      </c>
      <c r="E162" s="8">
        <v>30523</v>
      </c>
      <c r="F162" s="7">
        <v>2</v>
      </c>
      <c r="G162" s="7">
        <v>1</v>
      </c>
      <c r="H162" s="9">
        <v>41456</v>
      </c>
      <c r="I162" s="7">
        <v>0</v>
      </c>
      <c r="J162" s="7">
        <v>5</v>
      </c>
      <c r="K162" s="7">
        <v>0</v>
      </c>
      <c r="L162" s="7">
        <v>3</v>
      </c>
      <c r="M162" s="7">
        <v>0</v>
      </c>
      <c r="N162" s="7">
        <v>0</v>
      </c>
      <c r="O162" s="7">
        <v>5</v>
      </c>
      <c r="P162" s="7">
        <v>1</v>
      </c>
      <c r="Q162" s="7">
        <v>1</v>
      </c>
      <c r="R162" s="7">
        <v>0</v>
      </c>
      <c r="S162" s="7">
        <v>2</v>
      </c>
      <c r="T162" s="7">
        <v>7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f t="shared" ca="1" si="8"/>
        <v>68</v>
      </c>
      <c r="AC162" s="7">
        <f>[1]!Table1[[#This Row],[Kidhome]]+[1]!Table1[[#This Row],[Teenhome]]</f>
        <v>3</v>
      </c>
      <c r="AD162" s="7">
        <f t="shared" si="9"/>
        <v>13</v>
      </c>
      <c r="AE162" s="7">
        <f t="shared" si="10"/>
        <v>2</v>
      </c>
      <c r="AF162" s="10">
        <f t="shared" si="11"/>
        <v>2</v>
      </c>
    </row>
    <row r="163" spans="1:32" x14ac:dyDescent="0.3">
      <c r="A163" s="11">
        <v>9260</v>
      </c>
      <c r="B163" s="12">
        <v>1945</v>
      </c>
      <c r="C163" s="12" t="s">
        <v>35</v>
      </c>
      <c r="D163" s="12" t="s">
        <v>36</v>
      </c>
      <c r="E163" s="13">
        <v>70356</v>
      </c>
      <c r="F163" s="12">
        <v>0</v>
      </c>
      <c r="G163" s="12">
        <v>0</v>
      </c>
      <c r="H163" s="14">
        <v>41218</v>
      </c>
      <c r="I163" s="12">
        <v>20</v>
      </c>
      <c r="J163" s="12">
        <v>1349</v>
      </c>
      <c r="K163" s="12">
        <v>16</v>
      </c>
      <c r="L163" s="12">
        <v>249</v>
      </c>
      <c r="M163" s="12">
        <v>43</v>
      </c>
      <c r="N163" s="12">
        <v>16</v>
      </c>
      <c r="O163" s="12">
        <v>33</v>
      </c>
      <c r="P163" s="12">
        <v>2</v>
      </c>
      <c r="Q163" s="12">
        <v>10</v>
      </c>
      <c r="R163" s="12">
        <v>6</v>
      </c>
      <c r="S163" s="12">
        <v>9</v>
      </c>
      <c r="T163" s="12">
        <v>6</v>
      </c>
      <c r="U163" s="12">
        <v>0</v>
      </c>
      <c r="V163" s="12">
        <v>0</v>
      </c>
      <c r="W163" s="12">
        <v>0</v>
      </c>
      <c r="X163" s="12">
        <v>0</v>
      </c>
      <c r="Y163" s="12">
        <v>0</v>
      </c>
      <c r="Z163" s="12">
        <v>0</v>
      </c>
      <c r="AA163" s="12">
        <v>0</v>
      </c>
      <c r="AB163" s="12">
        <f t="shared" ca="1" si="8"/>
        <v>81</v>
      </c>
      <c r="AC163" s="12">
        <f>[1]!Table1[[#This Row],[Kidhome]]+[1]!Table1[[#This Row],[Teenhome]]</f>
        <v>0</v>
      </c>
      <c r="AD163" s="12">
        <f t="shared" si="9"/>
        <v>1706</v>
      </c>
      <c r="AE163" s="12">
        <f t="shared" si="10"/>
        <v>18</v>
      </c>
      <c r="AF163" s="15">
        <f t="shared" si="11"/>
        <v>18</v>
      </c>
    </row>
    <row r="164" spans="1:32" x14ac:dyDescent="0.3">
      <c r="A164" s="6">
        <v>8182</v>
      </c>
      <c r="B164" s="7">
        <v>1984</v>
      </c>
      <c r="C164" s="7" t="s">
        <v>32</v>
      </c>
      <c r="D164" s="7" t="s">
        <v>36</v>
      </c>
      <c r="E164" s="8">
        <v>23228</v>
      </c>
      <c r="F164" s="7">
        <v>1</v>
      </c>
      <c r="G164" s="7">
        <v>0</v>
      </c>
      <c r="H164" s="9">
        <v>41644</v>
      </c>
      <c r="I164" s="7">
        <v>91</v>
      </c>
      <c r="J164" s="7">
        <v>53</v>
      </c>
      <c r="K164" s="7">
        <v>3</v>
      </c>
      <c r="L164" s="7">
        <v>49</v>
      </c>
      <c r="M164" s="7">
        <v>7</v>
      </c>
      <c r="N164" s="7">
        <v>4</v>
      </c>
      <c r="O164" s="7">
        <v>5</v>
      </c>
      <c r="P164" s="7">
        <v>4</v>
      </c>
      <c r="Q164" s="7">
        <v>3</v>
      </c>
      <c r="R164" s="7">
        <v>0</v>
      </c>
      <c r="S164" s="7">
        <v>4</v>
      </c>
      <c r="T164" s="7">
        <v>8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f t="shared" ca="1" si="8"/>
        <v>42</v>
      </c>
      <c r="AC164" s="7">
        <f>[1]!Table1[[#This Row],[Kidhome]]+[1]!Table1[[#This Row],[Teenhome]]</f>
        <v>1</v>
      </c>
      <c r="AD164" s="7">
        <f t="shared" si="9"/>
        <v>121</v>
      </c>
      <c r="AE164" s="7">
        <f t="shared" si="10"/>
        <v>7</v>
      </c>
      <c r="AF164" s="10">
        <f t="shared" si="11"/>
        <v>7</v>
      </c>
    </row>
    <row r="165" spans="1:32" x14ac:dyDescent="0.3">
      <c r="A165" s="11">
        <v>10095</v>
      </c>
      <c r="B165" s="12">
        <v>1975</v>
      </c>
      <c r="C165" s="12" t="s">
        <v>35</v>
      </c>
      <c r="D165" s="12" t="s">
        <v>38</v>
      </c>
      <c r="E165" s="13">
        <v>74165</v>
      </c>
      <c r="F165" s="12">
        <v>0</v>
      </c>
      <c r="G165" s="12">
        <v>0</v>
      </c>
      <c r="H165" s="14">
        <v>41395</v>
      </c>
      <c r="I165" s="12">
        <v>9</v>
      </c>
      <c r="J165" s="12">
        <v>1001</v>
      </c>
      <c r="K165" s="12">
        <v>12</v>
      </c>
      <c r="L165" s="12">
        <v>240</v>
      </c>
      <c r="M165" s="12">
        <v>16</v>
      </c>
      <c r="N165" s="12">
        <v>12</v>
      </c>
      <c r="O165" s="12">
        <v>12</v>
      </c>
      <c r="P165" s="12">
        <v>1</v>
      </c>
      <c r="Q165" s="12">
        <v>5</v>
      </c>
      <c r="R165" s="12">
        <v>4</v>
      </c>
      <c r="S165" s="12">
        <v>10</v>
      </c>
      <c r="T165" s="12">
        <v>2</v>
      </c>
      <c r="U165" s="12">
        <v>0</v>
      </c>
      <c r="V165" s="12">
        <v>0</v>
      </c>
      <c r="W165" s="12">
        <v>0</v>
      </c>
      <c r="X165" s="12">
        <v>0</v>
      </c>
      <c r="Y165" s="12">
        <v>0</v>
      </c>
      <c r="Z165" s="12">
        <v>0</v>
      </c>
      <c r="AA165" s="12">
        <v>0</v>
      </c>
      <c r="AB165" s="12">
        <f t="shared" ca="1" si="8"/>
        <v>51</v>
      </c>
      <c r="AC165" s="12">
        <f>[1]!Table1[[#This Row],[Kidhome]]+[1]!Table1[[#This Row],[Teenhome]]</f>
        <v>0</v>
      </c>
      <c r="AD165" s="12">
        <f t="shared" si="9"/>
        <v>1293</v>
      </c>
      <c r="AE165" s="12">
        <f t="shared" si="10"/>
        <v>10</v>
      </c>
      <c r="AF165" s="15">
        <f t="shared" si="11"/>
        <v>10</v>
      </c>
    </row>
    <row r="166" spans="1:32" x14ac:dyDescent="0.3">
      <c r="A166" s="6">
        <v>8475</v>
      </c>
      <c r="B166" s="7">
        <v>1973</v>
      </c>
      <c r="C166" s="7" t="s">
        <v>35</v>
      </c>
      <c r="D166" s="7" t="s">
        <v>36</v>
      </c>
      <c r="E166" s="8">
        <v>157243</v>
      </c>
      <c r="F166" s="7">
        <v>0</v>
      </c>
      <c r="G166" s="7">
        <v>1</v>
      </c>
      <c r="H166" s="9">
        <v>41699</v>
      </c>
      <c r="I166" s="7">
        <v>98</v>
      </c>
      <c r="J166" s="7">
        <v>20</v>
      </c>
      <c r="K166" s="7">
        <v>2</v>
      </c>
      <c r="L166" s="7">
        <v>1582</v>
      </c>
      <c r="M166" s="7">
        <v>1</v>
      </c>
      <c r="N166" s="7">
        <v>2</v>
      </c>
      <c r="O166" s="7">
        <v>1</v>
      </c>
      <c r="P166" s="7">
        <v>15</v>
      </c>
      <c r="Q166" s="7">
        <v>0</v>
      </c>
      <c r="R166" s="7">
        <v>22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f t="shared" ca="1" si="8"/>
        <v>53</v>
      </c>
      <c r="AC166" s="7">
        <f>[1]!Table1[[#This Row],[Kidhome]]+[1]!Table1[[#This Row],[Teenhome]]</f>
        <v>1</v>
      </c>
      <c r="AD166" s="7">
        <f t="shared" si="9"/>
        <v>1608</v>
      </c>
      <c r="AE166" s="7">
        <f t="shared" si="10"/>
        <v>37</v>
      </c>
      <c r="AF166" s="10">
        <f t="shared" si="11"/>
        <v>37</v>
      </c>
    </row>
    <row r="167" spans="1:32" x14ac:dyDescent="0.3">
      <c r="A167" s="11">
        <v>4370</v>
      </c>
      <c r="B167" s="12">
        <v>1966</v>
      </c>
      <c r="C167" s="12" t="s">
        <v>32</v>
      </c>
      <c r="D167" s="12" t="s">
        <v>34</v>
      </c>
      <c r="E167" s="13">
        <v>43482</v>
      </c>
      <c r="F167" s="12">
        <v>2</v>
      </c>
      <c r="G167" s="12">
        <v>1</v>
      </c>
      <c r="H167" s="14">
        <v>41591</v>
      </c>
      <c r="I167" s="12">
        <v>83</v>
      </c>
      <c r="J167" s="12">
        <v>18</v>
      </c>
      <c r="K167" s="12">
        <v>1</v>
      </c>
      <c r="L167" s="12">
        <v>32</v>
      </c>
      <c r="M167" s="12">
        <v>6</v>
      </c>
      <c r="N167" s="12">
        <v>3</v>
      </c>
      <c r="O167" s="12">
        <v>28</v>
      </c>
      <c r="P167" s="12">
        <v>3</v>
      </c>
      <c r="Q167" s="12">
        <v>2</v>
      </c>
      <c r="R167" s="12">
        <v>0</v>
      </c>
      <c r="S167" s="12">
        <v>4</v>
      </c>
      <c r="T167" s="12">
        <v>6</v>
      </c>
      <c r="U167" s="12">
        <v>0</v>
      </c>
      <c r="V167" s="12">
        <v>0</v>
      </c>
      <c r="W167" s="12">
        <v>0</v>
      </c>
      <c r="X167" s="12">
        <v>0</v>
      </c>
      <c r="Y167" s="12">
        <v>0</v>
      </c>
      <c r="Z167" s="12">
        <v>0</v>
      </c>
      <c r="AA167" s="12">
        <v>0</v>
      </c>
      <c r="AB167" s="12">
        <f t="shared" ca="1" si="8"/>
        <v>60</v>
      </c>
      <c r="AC167" s="12">
        <f>[1]!Table1[[#This Row],[Kidhome]]+[1]!Table1[[#This Row],[Teenhome]]</f>
        <v>3</v>
      </c>
      <c r="AD167" s="12">
        <f t="shared" si="9"/>
        <v>88</v>
      </c>
      <c r="AE167" s="12">
        <f t="shared" si="10"/>
        <v>5</v>
      </c>
      <c r="AF167" s="15">
        <f t="shared" si="11"/>
        <v>5</v>
      </c>
    </row>
    <row r="168" spans="1:32" x14ac:dyDescent="0.3">
      <c r="A168" s="6">
        <v>10573</v>
      </c>
      <c r="B168" s="7">
        <v>1953</v>
      </c>
      <c r="C168" s="7" t="s">
        <v>32</v>
      </c>
      <c r="D168" s="7" t="s">
        <v>38</v>
      </c>
      <c r="E168" s="8">
        <v>62551</v>
      </c>
      <c r="F168" s="7">
        <v>0</v>
      </c>
      <c r="G168" s="7">
        <v>0</v>
      </c>
      <c r="H168" s="9">
        <v>41596</v>
      </c>
      <c r="I168" s="7">
        <v>27</v>
      </c>
      <c r="J168" s="7">
        <v>125</v>
      </c>
      <c r="K168" s="7">
        <v>16</v>
      </c>
      <c r="L168" s="7">
        <v>98</v>
      </c>
      <c r="M168" s="7">
        <v>134</v>
      </c>
      <c r="N168" s="7">
        <v>21</v>
      </c>
      <c r="O168" s="7">
        <v>27</v>
      </c>
      <c r="P168" s="7">
        <v>1</v>
      </c>
      <c r="Q168" s="7">
        <v>6</v>
      </c>
      <c r="R168" s="7">
        <v>7</v>
      </c>
      <c r="S168" s="7">
        <v>4</v>
      </c>
      <c r="T168" s="7">
        <v>3</v>
      </c>
      <c r="U168" s="7">
        <v>1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f t="shared" ca="1" si="8"/>
        <v>73</v>
      </c>
      <c r="AC168" s="7">
        <f>[1]!Table1[[#This Row],[Kidhome]]+[1]!Table1[[#This Row],[Teenhome]]</f>
        <v>0</v>
      </c>
      <c r="AD168" s="7">
        <f t="shared" si="9"/>
        <v>421</v>
      </c>
      <c r="AE168" s="7">
        <f t="shared" si="10"/>
        <v>14</v>
      </c>
      <c r="AF168" s="10">
        <f t="shared" si="11"/>
        <v>14</v>
      </c>
    </row>
    <row r="169" spans="1:32" x14ac:dyDescent="0.3">
      <c r="A169" s="11">
        <v>3712</v>
      </c>
      <c r="B169" s="12">
        <v>1959</v>
      </c>
      <c r="C169" s="12" t="s">
        <v>32</v>
      </c>
      <c r="D169" s="12" t="s">
        <v>38</v>
      </c>
      <c r="E169" s="13">
        <v>52332</v>
      </c>
      <c r="F169" s="12">
        <v>0</v>
      </c>
      <c r="G169" s="12">
        <v>0</v>
      </c>
      <c r="H169" s="14">
        <v>41514</v>
      </c>
      <c r="I169" s="12">
        <v>63</v>
      </c>
      <c r="J169" s="12">
        <v>212</v>
      </c>
      <c r="K169" s="12">
        <v>5</v>
      </c>
      <c r="L169" s="12">
        <v>33</v>
      </c>
      <c r="M169" s="12">
        <v>7</v>
      </c>
      <c r="N169" s="12">
        <v>0</v>
      </c>
      <c r="O169" s="12">
        <v>2</v>
      </c>
      <c r="P169" s="12">
        <v>1</v>
      </c>
      <c r="Q169" s="12">
        <v>3</v>
      </c>
      <c r="R169" s="12">
        <v>2</v>
      </c>
      <c r="S169" s="12">
        <v>6</v>
      </c>
      <c r="T169" s="12">
        <v>4</v>
      </c>
      <c r="U169" s="12">
        <v>0</v>
      </c>
      <c r="V169" s="12">
        <v>1</v>
      </c>
      <c r="W169" s="12">
        <v>0</v>
      </c>
      <c r="X169" s="12">
        <v>0</v>
      </c>
      <c r="Y169" s="12">
        <v>0</v>
      </c>
      <c r="Z169" s="12">
        <v>0</v>
      </c>
      <c r="AA169" s="12">
        <v>0</v>
      </c>
      <c r="AB169" s="12">
        <f t="shared" ca="1" si="8"/>
        <v>67</v>
      </c>
      <c r="AC169" s="12">
        <f>[1]!Table1[[#This Row],[Kidhome]]+[1]!Table1[[#This Row],[Teenhome]]</f>
        <v>0</v>
      </c>
      <c r="AD169" s="12">
        <f t="shared" si="9"/>
        <v>259</v>
      </c>
      <c r="AE169" s="12">
        <f t="shared" si="10"/>
        <v>6</v>
      </c>
      <c r="AF169" s="15">
        <f t="shared" si="11"/>
        <v>6</v>
      </c>
    </row>
    <row r="170" spans="1:32" x14ac:dyDescent="0.3">
      <c r="A170" s="6">
        <v>6637</v>
      </c>
      <c r="B170" s="7">
        <v>1988</v>
      </c>
      <c r="C170" s="7" t="s">
        <v>32</v>
      </c>
      <c r="D170" s="7" t="s">
        <v>33</v>
      </c>
      <c r="E170" s="8">
        <v>66951</v>
      </c>
      <c r="F170" s="7">
        <v>0</v>
      </c>
      <c r="G170" s="7">
        <v>0</v>
      </c>
      <c r="H170" s="9">
        <v>41580</v>
      </c>
      <c r="I170" s="7">
        <v>46</v>
      </c>
      <c r="J170" s="7">
        <v>277</v>
      </c>
      <c r="K170" s="7">
        <v>162</v>
      </c>
      <c r="L170" s="7">
        <v>305</v>
      </c>
      <c r="M170" s="7">
        <v>173</v>
      </c>
      <c r="N170" s="7">
        <v>76</v>
      </c>
      <c r="O170" s="7">
        <v>124</v>
      </c>
      <c r="P170" s="7">
        <v>1</v>
      </c>
      <c r="Q170" s="7">
        <v>3</v>
      </c>
      <c r="R170" s="7">
        <v>4</v>
      </c>
      <c r="S170" s="7">
        <v>7</v>
      </c>
      <c r="T170" s="7">
        <v>1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f t="shared" ca="1" si="8"/>
        <v>38</v>
      </c>
      <c r="AC170" s="7">
        <f>[1]!Table1[[#This Row],[Kidhome]]+[1]!Table1[[#This Row],[Teenhome]]</f>
        <v>0</v>
      </c>
      <c r="AD170" s="7">
        <f t="shared" si="9"/>
        <v>1117</v>
      </c>
      <c r="AE170" s="7">
        <f t="shared" si="10"/>
        <v>8</v>
      </c>
      <c r="AF170" s="10">
        <f t="shared" si="11"/>
        <v>8</v>
      </c>
    </row>
    <row r="171" spans="1:32" x14ac:dyDescent="0.3">
      <c r="A171" s="11">
        <v>3152</v>
      </c>
      <c r="B171" s="12">
        <v>1957</v>
      </c>
      <c r="C171" s="12" t="s">
        <v>32</v>
      </c>
      <c r="D171" s="12" t="s">
        <v>34</v>
      </c>
      <c r="E171" s="13">
        <v>26091</v>
      </c>
      <c r="F171" s="12">
        <v>1</v>
      </c>
      <c r="G171" s="12">
        <v>1</v>
      </c>
      <c r="H171" s="14">
        <v>41695</v>
      </c>
      <c r="I171" s="12">
        <v>84</v>
      </c>
      <c r="J171" s="12">
        <v>15</v>
      </c>
      <c r="K171" s="12">
        <v>10</v>
      </c>
      <c r="L171" s="12">
        <v>19</v>
      </c>
      <c r="M171" s="12">
        <v>8</v>
      </c>
      <c r="N171" s="12">
        <v>17</v>
      </c>
      <c r="O171" s="12">
        <v>20</v>
      </c>
      <c r="P171" s="12">
        <v>3</v>
      </c>
      <c r="Q171" s="12">
        <v>2</v>
      </c>
      <c r="R171" s="12">
        <v>1</v>
      </c>
      <c r="S171" s="12">
        <v>3</v>
      </c>
      <c r="T171" s="12">
        <v>5</v>
      </c>
      <c r="U171" s="12">
        <v>0</v>
      </c>
      <c r="V171" s="12">
        <v>0</v>
      </c>
      <c r="W171" s="12">
        <v>0</v>
      </c>
      <c r="X171" s="12">
        <v>0</v>
      </c>
      <c r="Y171" s="12">
        <v>0</v>
      </c>
      <c r="Z171" s="12">
        <v>0</v>
      </c>
      <c r="AA171" s="12">
        <v>0</v>
      </c>
      <c r="AB171" s="12">
        <f t="shared" ca="1" si="8"/>
        <v>69</v>
      </c>
      <c r="AC171" s="12">
        <f>[1]!Table1[[#This Row],[Kidhome]]+[1]!Table1[[#This Row],[Teenhome]]</f>
        <v>2</v>
      </c>
      <c r="AD171" s="12">
        <f t="shared" si="9"/>
        <v>89</v>
      </c>
      <c r="AE171" s="12">
        <f t="shared" si="10"/>
        <v>6</v>
      </c>
      <c r="AF171" s="15">
        <f t="shared" si="11"/>
        <v>6</v>
      </c>
    </row>
    <row r="172" spans="1:32" x14ac:dyDescent="0.3">
      <c r="A172" s="6">
        <v>5610</v>
      </c>
      <c r="B172" s="7">
        <v>1965</v>
      </c>
      <c r="C172" s="7" t="s">
        <v>32</v>
      </c>
      <c r="D172" s="7" t="s">
        <v>34</v>
      </c>
      <c r="E172" s="8">
        <v>33456</v>
      </c>
      <c r="F172" s="7">
        <v>1</v>
      </c>
      <c r="G172" s="7">
        <v>1</v>
      </c>
      <c r="H172" s="9">
        <v>41750</v>
      </c>
      <c r="I172" s="7">
        <v>58</v>
      </c>
      <c r="J172" s="7">
        <v>7</v>
      </c>
      <c r="K172" s="7">
        <v>3</v>
      </c>
      <c r="L172" s="7">
        <v>10</v>
      </c>
      <c r="M172" s="7">
        <v>8</v>
      </c>
      <c r="N172" s="7">
        <v>1</v>
      </c>
      <c r="O172" s="7">
        <v>7</v>
      </c>
      <c r="P172" s="7">
        <v>2</v>
      </c>
      <c r="Q172" s="7">
        <v>1</v>
      </c>
      <c r="R172" s="7">
        <v>0</v>
      </c>
      <c r="S172" s="7">
        <v>3</v>
      </c>
      <c r="T172" s="7">
        <v>7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f t="shared" ca="1" si="8"/>
        <v>61</v>
      </c>
      <c r="AC172" s="7">
        <f>[1]!Table1[[#This Row],[Kidhome]]+[1]!Table1[[#This Row],[Teenhome]]</f>
        <v>2</v>
      </c>
      <c r="AD172" s="7">
        <f t="shared" si="9"/>
        <v>36</v>
      </c>
      <c r="AE172" s="7">
        <f t="shared" si="10"/>
        <v>3</v>
      </c>
      <c r="AF172" s="10">
        <f t="shared" si="11"/>
        <v>3</v>
      </c>
    </row>
    <row r="173" spans="1:32" x14ac:dyDescent="0.3">
      <c r="A173" s="11">
        <v>6460</v>
      </c>
      <c r="B173" s="12">
        <v>1982</v>
      </c>
      <c r="C173" s="12" t="s">
        <v>32</v>
      </c>
      <c r="D173" s="12" t="s">
        <v>36</v>
      </c>
      <c r="E173" s="13">
        <v>28718</v>
      </c>
      <c r="F173" s="12">
        <v>1</v>
      </c>
      <c r="G173" s="12">
        <v>0</v>
      </c>
      <c r="H173" s="14">
        <v>41468</v>
      </c>
      <c r="I173" s="12">
        <v>78</v>
      </c>
      <c r="J173" s="12">
        <v>12</v>
      </c>
      <c r="K173" s="12">
        <v>4</v>
      </c>
      <c r="L173" s="12">
        <v>6</v>
      </c>
      <c r="M173" s="12">
        <v>11</v>
      </c>
      <c r="N173" s="12">
        <v>8</v>
      </c>
      <c r="O173" s="12">
        <v>16</v>
      </c>
      <c r="P173" s="12">
        <v>2</v>
      </c>
      <c r="Q173" s="12">
        <v>2</v>
      </c>
      <c r="R173" s="12">
        <v>0</v>
      </c>
      <c r="S173" s="12">
        <v>3</v>
      </c>
      <c r="T173" s="12">
        <v>8</v>
      </c>
      <c r="U173" s="12">
        <v>0</v>
      </c>
      <c r="V173" s="12">
        <v>0</v>
      </c>
      <c r="W173" s="12">
        <v>0</v>
      </c>
      <c r="X173" s="12">
        <v>0</v>
      </c>
      <c r="Y173" s="12">
        <v>0</v>
      </c>
      <c r="Z173" s="12">
        <v>0</v>
      </c>
      <c r="AA173" s="12">
        <v>0</v>
      </c>
      <c r="AB173" s="12">
        <f t="shared" ca="1" si="8"/>
        <v>44</v>
      </c>
      <c r="AC173" s="12">
        <f>[1]!Table1[[#This Row],[Kidhome]]+[1]!Table1[[#This Row],[Teenhome]]</f>
        <v>1</v>
      </c>
      <c r="AD173" s="12">
        <f t="shared" si="9"/>
        <v>57</v>
      </c>
      <c r="AE173" s="12">
        <f t="shared" si="10"/>
        <v>4</v>
      </c>
      <c r="AF173" s="15">
        <f t="shared" si="11"/>
        <v>4</v>
      </c>
    </row>
    <row r="174" spans="1:32" x14ac:dyDescent="0.3">
      <c r="A174" s="6">
        <v>1349</v>
      </c>
      <c r="B174" s="7">
        <v>1970</v>
      </c>
      <c r="C174" s="7" t="s">
        <v>32</v>
      </c>
      <c r="D174" s="7" t="s">
        <v>36</v>
      </c>
      <c r="E174" s="8">
        <v>50447</v>
      </c>
      <c r="F174" s="7">
        <v>2</v>
      </c>
      <c r="G174" s="7">
        <v>0</v>
      </c>
      <c r="H174" s="9">
        <v>41750</v>
      </c>
      <c r="I174" s="7">
        <v>4</v>
      </c>
      <c r="J174" s="7">
        <v>85</v>
      </c>
      <c r="K174" s="7">
        <v>7</v>
      </c>
      <c r="L174" s="7">
        <v>24</v>
      </c>
      <c r="M174" s="7">
        <v>2</v>
      </c>
      <c r="N174" s="7">
        <v>3</v>
      </c>
      <c r="O174" s="7">
        <v>27</v>
      </c>
      <c r="P174" s="7">
        <v>1</v>
      </c>
      <c r="Q174" s="7">
        <v>3</v>
      </c>
      <c r="R174" s="7">
        <v>1</v>
      </c>
      <c r="S174" s="7">
        <v>3</v>
      </c>
      <c r="T174" s="7">
        <v>6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f t="shared" ca="1" si="8"/>
        <v>56</v>
      </c>
      <c r="AC174" s="7">
        <f>[1]!Table1[[#This Row],[Kidhome]]+[1]!Table1[[#This Row],[Teenhome]]</f>
        <v>2</v>
      </c>
      <c r="AD174" s="7">
        <f t="shared" si="9"/>
        <v>148</v>
      </c>
      <c r="AE174" s="7">
        <f t="shared" si="10"/>
        <v>5</v>
      </c>
      <c r="AF174" s="10">
        <f t="shared" si="11"/>
        <v>5</v>
      </c>
    </row>
    <row r="175" spans="1:32" x14ac:dyDescent="0.3">
      <c r="A175" s="11">
        <v>1880</v>
      </c>
      <c r="B175" s="12">
        <v>1959</v>
      </c>
      <c r="C175" s="12" t="s">
        <v>35</v>
      </c>
      <c r="D175" s="12" t="s">
        <v>34</v>
      </c>
      <c r="E175" s="13">
        <v>53537</v>
      </c>
      <c r="F175" s="12">
        <v>1</v>
      </c>
      <c r="G175" s="12">
        <v>1</v>
      </c>
      <c r="H175" s="14">
        <v>41669</v>
      </c>
      <c r="I175" s="12">
        <v>17</v>
      </c>
      <c r="J175" s="12">
        <v>81</v>
      </c>
      <c r="K175" s="12">
        <v>0</v>
      </c>
      <c r="L175" s="12">
        <v>6</v>
      </c>
      <c r="M175" s="12">
        <v>0</v>
      </c>
      <c r="N175" s="12">
        <v>0</v>
      </c>
      <c r="O175" s="12">
        <v>6</v>
      </c>
      <c r="P175" s="12">
        <v>2</v>
      </c>
      <c r="Q175" s="12">
        <v>2</v>
      </c>
      <c r="R175" s="12">
        <v>1</v>
      </c>
      <c r="S175" s="12">
        <v>3</v>
      </c>
      <c r="T175" s="12">
        <v>5</v>
      </c>
      <c r="U175" s="12">
        <v>0</v>
      </c>
      <c r="V175" s="12">
        <v>0</v>
      </c>
      <c r="W175" s="12">
        <v>0</v>
      </c>
      <c r="X175" s="12">
        <v>0</v>
      </c>
      <c r="Y175" s="12">
        <v>0</v>
      </c>
      <c r="Z175" s="12">
        <v>0</v>
      </c>
      <c r="AA175" s="12">
        <v>0</v>
      </c>
      <c r="AB175" s="12">
        <f t="shared" ca="1" si="8"/>
        <v>67</v>
      </c>
      <c r="AC175" s="12">
        <f>[1]!Table1[[#This Row],[Kidhome]]+[1]!Table1[[#This Row],[Teenhome]]</f>
        <v>2</v>
      </c>
      <c r="AD175" s="12">
        <f t="shared" si="9"/>
        <v>93</v>
      </c>
      <c r="AE175" s="12">
        <f t="shared" si="10"/>
        <v>5</v>
      </c>
      <c r="AF175" s="15">
        <f t="shared" si="11"/>
        <v>5</v>
      </c>
    </row>
    <row r="176" spans="1:32" x14ac:dyDescent="0.3">
      <c r="A176" s="6">
        <v>641</v>
      </c>
      <c r="B176" s="7">
        <v>1967</v>
      </c>
      <c r="C176" s="7" t="s">
        <v>32</v>
      </c>
      <c r="D176" s="7" t="s">
        <v>33</v>
      </c>
      <c r="E176" s="8">
        <v>52074</v>
      </c>
      <c r="F176" s="7">
        <v>0</v>
      </c>
      <c r="G176" s="7">
        <v>1</v>
      </c>
      <c r="H176" s="9">
        <v>41733</v>
      </c>
      <c r="I176" s="7">
        <v>77</v>
      </c>
      <c r="J176" s="7">
        <v>59</v>
      </c>
      <c r="K176" s="7">
        <v>0</v>
      </c>
      <c r="L176" s="7">
        <v>12</v>
      </c>
      <c r="M176" s="7">
        <v>0</v>
      </c>
      <c r="N176" s="7">
        <v>0</v>
      </c>
      <c r="O176" s="7">
        <v>48</v>
      </c>
      <c r="P176" s="7">
        <v>1</v>
      </c>
      <c r="Q176" s="7">
        <v>2</v>
      </c>
      <c r="R176" s="7">
        <v>2</v>
      </c>
      <c r="S176" s="7">
        <v>2</v>
      </c>
      <c r="T176" s="7">
        <v>4</v>
      </c>
      <c r="U176" s="7">
        <v>1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f t="shared" ca="1" si="8"/>
        <v>59</v>
      </c>
      <c r="AC176" s="7">
        <f>[1]!Table1[[#This Row],[Kidhome]]+[1]!Table1[[#This Row],[Teenhome]]</f>
        <v>1</v>
      </c>
      <c r="AD176" s="7">
        <f t="shared" si="9"/>
        <v>119</v>
      </c>
      <c r="AE176" s="7">
        <f t="shared" si="10"/>
        <v>5</v>
      </c>
      <c r="AF176" s="10">
        <f t="shared" si="11"/>
        <v>5</v>
      </c>
    </row>
    <row r="177" spans="1:32" x14ac:dyDescent="0.3">
      <c r="A177" s="11">
        <v>8717</v>
      </c>
      <c r="B177" s="12">
        <v>1975</v>
      </c>
      <c r="C177" s="12" t="s">
        <v>35</v>
      </c>
      <c r="D177" s="12" t="s">
        <v>36</v>
      </c>
      <c r="E177" s="13">
        <v>80427</v>
      </c>
      <c r="F177" s="12">
        <v>0</v>
      </c>
      <c r="G177" s="12">
        <v>1</v>
      </c>
      <c r="H177" s="14">
        <v>41164</v>
      </c>
      <c r="I177" s="12">
        <v>56</v>
      </c>
      <c r="J177" s="12">
        <v>1149</v>
      </c>
      <c r="K177" s="12">
        <v>71</v>
      </c>
      <c r="L177" s="12">
        <v>449</v>
      </c>
      <c r="M177" s="12">
        <v>69</v>
      </c>
      <c r="N177" s="12">
        <v>71</v>
      </c>
      <c r="O177" s="12">
        <v>26</v>
      </c>
      <c r="P177" s="12">
        <v>1</v>
      </c>
      <c r="Q177" s="12">
        <v>11</v>
      </c>
      <c r="R177" s="12">
        <v>8</v>
      </c>
      <c r="S177" s="12">
        <v>8</v>
      </c>
      <c r="T177" s="12">
        <v>5</v>
      </c>
      <c r="U177" s="12">
        <v>0</v>
      </c>
      <c r="V177" s="12">
        <v>0</v>
      </c>
      <c r="W177" s="12">
        <v>0</v>
      </c>
      <c r="X177" s="12">
        <v>0</v>
      </c>
      <c r="Y177" s="12">
        <v>0</v>
      </c>
      <c r="Z177" s="12">
        <v>0</v>
      </c>
      <c r="AA177" s="12">
        <v>0</v>
      </c>
      <c r="AB177" s="12">
        <f t="shared" ca="1" si="8"/>
        <v>51</v>
      </c>
      <c r="AC177" s="12">
        <f>[1]!Table1[[#This Row],[Kidhome]]+[1]!Table1[[#This Row],[Teenhome]]</f>
        <v>1</v>
      </c>
      <c r="AD177" s="12">
        <f t="shared" si="9"/>
        <v>1835</v>
      </c>
      <c r="AE177" s="12">
        <f t="shared" si="10"/>
        <v>20</v>
      </c>
      <c r="AF177" s="15">
        <f t="shared" si="11"/>
        <v>20</v>
      </c>
    </row>
    <row r="178" spans="1:32" x14ac:dyDescent="0.3">
      <c r="A178" s="6">
        <v>10314</v>
      </c>
      <c r="B178" s="7">
        <v>1948</v>
      </c>
      <c r="C178" s="7" t="s">
        <v>35</v>
      </c>
      <c r="D178" s="7" t="s">
        <v>36</v>
      </c>
      <c r="E178" s="8">
        <v>83837</v>
      </c>
      <c r="F178" s="7">
        <v>0</v>
      </c>
      <c r="G178" s="7">
        <v>0</v>
      </c>
      <c r="H178" s="9">
        <v>41259</v>
      </c>
      <c r="I178" s="7">
        <v>79</v>
      </c>
      <c r="J178" s="7">
        <v>847</v>
      </c>
      <c r="K178" s="7">
        <v>66</v>
      </c>
      <c r="L178" s="7">
        <v>119</v>
      </c>
      <c r="M178" s="7">
        <v>86</v>
      </c>
      <c r="N178" s="7">
        <v>89</v>
      </c>
      <c r="O178" s="7">
        <v>111</v>
      </c>
      <c r="P178" s="7">
        <v>1</v>
      </c>
      <c r="Q178" s="7">
        <v>9</v>
      </c>
      <c r="R178" s="7">
        <v>10</v>
      </c>
      <c r="S178" s="7">
        <v>5</v>
      </c>
      <c r="T178" s="7">
        <v>4</v>
      </c>
      <c r="U178" s="7">
        <v>0</v>
      </c>
      <c r="V178" s="7">
        <v>1</v>
      </c>
      <c r="W178" s="7">
        <v>0</v>
      </c>
      <c r="X178" s="7">
        <v>1</v>
      </c>
      <c r="Y178" s="7">
        <v>0</v>
      </c>
      <c r="Z178" s="7">
        <v>0</v>
      </c>
      <c r="AA178" s="7">
        <v>1</v>
      </c>
      <c r="AB178" s="7">
        <f t="shared" ca="1" si="8"/>
        <v>78</v>
      </c>
      <c r="AC178" s="7">
        <f>[1]!Table1[[#This Row],[Kidhome]]+[1]!Table1[[#This Row],[Teenhome]]</f>
        <v>0</v>
      </c>
      <c r="AD178" s="7">
        <f t="shared" si="9"/>
        <v>1318</v>
      </c>
      <c r="AE178" s="7">
        <f t="shared" si="10"/>
        <v>20</v>
      </c>
      <c r="AF178" s="10">
        <f t="shared" si="11"/>
        <v>20</v>
      </c>
    </row>
    <row r="179" spans="1:32" x14ac:dyDescent="0.3">
      <c r="A179" s="11">
        <v>10854</v>
      </c>
      <c r="B179" s="12">
        <v>1970</v>
      </c>
      <c r="C179" s="12" t="s">
        <v>35</v>
      </c>
      <c r="D179" s="12" t="s">
        <v>36</v>
      </c>
      <c r="E179" s="13">
        <v>38853</v>
      </c>
      <c r="F179" s="12">
        <v>1</v>
      </c>
      <c r="G179" s="12">
        <v>1</v>
      </c>
      <c r="H179" s="14">
        <v>41782</v>
      </c>
      <c r="I179" s="12">
        <v>90</v>
      </c>
      <c r="J179" s="12">
        <v>29</v>
      </c>
      <c r="K179" s="12">
        <v>0</v>
      </c>
      <c r="L179" s="12">
        <v>14</v>
      </c>
      <c r="M179" s="12">
        <v>0</v>
      </c>
      <c r="N179" s="12">
        <v>0</v>
      </c>
      <c r="O179" s="12">
        <v>2</v>
      </c>
      <c r="P179" s="12">
        <v>2</v>
      </c>
      <c r="Q179" s="12">
        <v>2</v>
      </c>
      <c r="R179" s="12">
        <v>0</v>
      </c>
      <c r="S179" s="12">
        <v>3</v>
      </c>
      <c r="T179" s="12">
        <v>7</v>
      </c>
      <c r="U179" s="12">
        <v>0</v>
      </c>
      <c r="V179" s="12">
        <v>0</v>
      </c>
      <c r="W179" s="12">
        <v>0</v>
      </c>
      <c r="X179" s="12">
        <v>0</v>
      </c>
      <c r="Y179" s="12">
        <v>0</v>
      </c>
      <c r="Z179" s="12">
        <v>0</v>
      </c>
      <c r="AA179" s="12">
        <v>0</v>
      </c>
      <c r="AB179" s="12">
        <f t="shared" ca="1" si="8"/>
        <v>56</v>
      </c>
      <c r="AC179" s="12">
        <f>[1]!Table1[[#This Row],[Kidhome]]+[1]!Table1[[#This Row],[Teenhome]]</f>
        <v>2</v>
      </c>
      <c r="AD179" s="12">
        <f t="shared" si="9"/>
        <v>45</v>
      </c>
      <c r="AE179" s="12">
        <f t="shared" si="10"/>
        <v>4</v>
      </c>
      <c r="AF179" s="15">
        <f t="shared" si="11"/>
        <v>4</v>
      </c>
    </row>
    <row r="180" spans="1:32" x14ac:dyDescent="0.3">
      <c r="A180" s="6">
        <v>10492</v>
      </c>
      <c r="B180" s="7">
        <v>1959</v>
      </c>
      <c r="C180" s="7" t="s">
        <v>32</v>
      </c>
      <c r="D180" s="7" t="s">
        <v>34</v>
      </c>
      <c r="E180" s="8">
        <v>38285</v>
      </c>
      <c r="F180" s="7">
        <v>2</v>
      </c>
      <c r="G180" s="7">
        <v>1</v>
      </c>
      <c r="H180" s="9">
        <v>41814</v>
      </c>
      <c r="I180" s="7">
        <v>96</v>
      </c>
      <c r="J180" s="7">
        <v>2</v>
      </c>
      <c r="K180" s="7">
        <v>0</v>
      </c>
      <c r="L180" s="7">
        <v>5</v>
      </c>
      <c r="M180" s="7">
        <v>2</v>
      </c>
      <c r="N180" s="7">
        <v>0</v>
      </c>
      <c r="O180" s="7">
        <v>1</v>
      </c>
      <c r="P180" s="7">
        <v>1</v>
      </c>
      <c r="Q180" s="7">
        <v>0</v>
      </c>
      <c r="R180" s="7">
        <v>0</v>
      </c>
      <c r="S180" s="7">
        <v>3</v>
      </c>
      <c r="T180" s="7">
        <v>2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f t="shared" ca="1" si="8"/>
        <v>67</v>
      </c>
      <c r="AC180" s="7">
        <f>[1]!Table1[[#This Row],[Kidhome]]+[1]!Table1[[#This Row],[Teenhome]]</f>
        <v>3</v>
      </c>
      <c r="AD180" s="7">
        <f t="shared" si="9"/>
        <v>10</v>
      </c>
      <c r="AE180" s="7">
        <f t="shared" si="10"/>
        <v>1</v>
      </c>
      <c r="AF180" s="10">
        <f t="shared" si="11"/>
        <v>1</v>
      </c>
    </row>
    <row r="181" spans="1:32" x14ac:dyDescent="0.3">
      <c r="A181" s="11">
        <v>6935</v>
      </c>
      <c r="B181" s="12">
        <v>1951</v>
      </c>
      <c r="C181" s="12" t="s">
        <v>40</v>
      </c>
      <c r="D181" s="12" t="s">
        <v>36</v>
      </c>
      <c r="E181" s="13">
        <v>78497</v>
      </c>
      <c r="F181" s="12">
        <v>0</v>
      </c>
      <c r="G181" s="12">
        <v>0</v>
      </c>
      <c r="H181" s="14">
        <v>41609</v>
      </c>
      <c r="I181" s="12">
        <v>44</v>
      </c>
      <c r="J181" s="12">
        <v>207</v>
      </c>
      <c r="K181" s="12">
        <v>26</v>
      </c>
      <c r="L181" s="12">
        <v>447</v>
      </c>
      <c r="M181" s="12">
        <v>75</v>
      </c>
      <c r="N181" s="12">
        <v>0</v>
      </c>
      <c r="O181" s="12">
        <v>223</v>
      </c>
      <c r="P181" s="12">
        <v>1</v>
      </c>
      <c r="Q181" s="12">
        <v>5</v>
      </c>
      <c r="R181" s="12">
        <v>7</v>
      </c>
      <c r="S181" s="12">
        <v>12</v>
      </c>
      <c r="T181" s="12">
        <v>2</v>
      </c>
      <c r="U181" s="12">
        <v>0</v>
      </c>
      <c r="V181" s="12">
        <v>0</v>
      </c>
      <c r="W181" s="12">
        <v>0</v>
      </c>
      <c r="X181" s="12">
        <v>1</v>
      </c>
      <c r="Y181" s="12">
        <v>0</v>
      </c>
      <c r="Z181" s="12">
        <v>0</v>
      </c>
      <c r="AA181" s="12">
        <v>0</v>
      </c>
      <c r="AB181" s="12">
        <f t="shared" ca="1" si="8"/>
        <v>75</v>
      </c>
      <c r="AC181" s="12">
        <f>[1]!Table1[[#This Row],[Kidhome]]+[1]!Table1[[#This Row],[Teenhome]]</f>
        <v>0</v>
      </c>
      <c r="AD181" s="12">
        <f t="shared" si="9"/>
        <v>978</v>
      </c>
      <c r="AE181" s="12">
        <f t="shared" si="10"/>
        <v>13</v>
      </c>
      <c r="AF181" s="15">
        <f t="shared" si="11"/>
        <v>13</v>
      </c>
    </row>
    <row r="182" spans="1:32" x14ac:dyDescent="0.3">
      <c r="A182" s="6">
        <v>7698</v>
      </c>
      <c r="B182" s="7">
        <v>1976</v>
      </c>
      <c r="C182" s="7" t="s">
        <v>35</v>
      </c>
      <c r="D182" s="7" t="s">
        <v>36</v>
      </c>
      <c r="E182" s="8">
        <v>51650</v>
      </c>
      <c r="F182" s="7">
        <v>0</v>
      </c>
      <c r="G182" s="7">
        <v>1</v>
      </c>
      <c r="H182" s="9">
        <v>41770</v>
      </c>
      <c r="I182" s="7">
        <v>81</v>
      </c>
      <c r="J182" s="7">
        <v>152</v>
      </c>
      <c r="K182" s="7">
        <v>3</v>
      </c>
      <c r="L182" s="7">
        <v>22</v>
      </c>
      <c r="M182" s="7">
        <v>2</v>
      </c>
      <c r="N182" s="7">
        <v>5</v>
      </c>
      <c r="O182" s="7">
        <v>7</v>
      </c>
      <c r="P182" s="7">
        <v>1</v>
      </c>
      <c r="Q182" s="7">
        <v>4</v>
      </c>
      <c r="R182" s="7">
        <v>1</v>
      </c>
      <c r="S182" s="7">
        <v>4</v>
      </c>
      <c r="T182" s="7">
        <v>5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f t="shared" ca="1" si="8"/>
        <v>50</v>
      </c>
      <c r="AC182" s="7">
        <f>[1]!Table1[[#This Row],[Kidhome]]+[1]!Table1[[#This Row],[Teenhome]]</f>
        <v>1</v>
      </c>
      <c r="AD182" s="7">
        <f t="shared" si="9"/>
        <v>191</v>
      </c>
      <c r="AE182" s="7">
        <f t="shared" si="10"/>
        <v>6</v>
      </c>
      <c r="AF182" s="10">
        <f t="shared" si="11"/>
        <v>6</v>
      </c>
    </row>
    <row r="183" spans="1:32" x14ac:dyDescent="0.3">
      <c r="A183" s="11">
        <v>3559</v>
      </c>
      <c r="B183" s="12">
        <v>1988</v>
      </c>
      <c r="C183" s="12" t="s">
        <v>40</v>
      </c>
      <c r="D183" s="12" t="s">
        <v>36</v>
      </c>
      <c r="E183" s="13">
        <v>16248</v>
      </c>
      <c r="F183" s="12">
        <v>1</v>
      </c>
      <c r="G183" s="12">
        <v>0</v>
      </c>
      <c r="H183" s="14">
        <v>41769</v>
      </c>
      <c r="I183" s="12">
        <v>77</v>
      </c>
      <c r="J183" s="12">
        <v>12</v>
      </c>
      <c r="K183" s="12">
        <v>11</v>
      </c>
      <c r="L183" s="12">
        <v>10</v>
      </c>
      <c r="M183" s="12">
        <v>3</v>
      </c>
      <c r="N183" s="12">
        <v>12</v>
      </c>
      <c r="O183" s="12">
        <v>9</v>
      </c>
      <c r="P183" s="12">
        <v>3</v>
      </c>
      <c r="Q183" s="12">
        <v>2</v>
      </c>
      <c r="R183" s="12">
        <v>1</v>
      </c>
      <c r="S183" s="12">
        <v>3</v>
      </c>
      <c r="T183" s="12">
        <v>6</v>
      </c>
      <c r="U183" s="12">
        <v>0</v>
      </c>
      <c r="V183" s="12">
        <v>0</v>
      </c>
      <c r="W183" s="12">
        <v>0</v>
      </c>
      <c r="X183" s="12">
        <v>0</v>
      </c>
      <c r="Y183" s="12">
        <v>0</v>
      </c>
      <c r="Z183" s="12">
        <v>0</v>
      </c>
      <c r="AA183" s="12">
        <v>0</v>
      </c>
      <c r="AB183" s="12">
        <f t="shared" ca="1" si="8"/>
        <v>38</v>
      </c>
      <c r="AC183" s="12">
        <f>[1]!Table1[[#This Row],[Kidhome]]+[1]!Table1[[#This Row],[Teenhome]]</f>
        <v>1</v>
      </c>
      <c r="AD183" s="12">
        <f t="shared" si="9"/>
        <v>57</v>
      </c>
      <c r="AE183" s="12">
        <f t="shared" si="10"/>
        <v>6</v>
      </c>
      <c r="AF183" s="15">
        <f t="shared" si="11"/>
        <v>6</v>
      </c>
    </row>
    <row r="184" spans="1:32" x14ac:dyDescent="0.3">
      <c r="A184" s="6">
        <v>10562</v>
      </c>
      <c r="B184" s="7">
        <v>1946</v>
      </c>
      <c r="C184" s="7" t="s">
        <v>37</v>
      </c>
      <c r="D184" s="7" t="s">
        <v>36</v>
      </c>
      <c r="E184" s="8">
        <v>66835</v>
      </c>
      <c r="F184" s="7">
        <v>0</v>
      </c>
      <c r="G184" s="7">
        <v>0</v>
      </c>
      <c r="H184" s="9">
        <v>41545</v>
      </c>
      <c r="I184" s="7">
        <v>21</v>
      </c>
      <c r="J184" s="7">
        <v>620</v>
      </c>
      <c r="K184" s="7">
        <v>26</v>
      </c>
      <c r="L184" s="7">
        <v>195</v>
      </c>
      <c r="M184" s="7">
        <v>34</v>
      </c>
      <c r="N184" s="7">
        <v>17</v>
      </c>
      <c r="O184" s="7">
        <v>141</v>
      </c>
      <c r="P184" s="7">
        <v>1</v>
      </c>
      <c r="Q184" s="7">
        <v>6</v>
      </c>
      <c r="R184" s="7">
        <v>4</v>
      </c>
      <c r="S184" s="7">
        <v>13</v>
      </c>
      <c r="T184" s="7">
        <v>2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f t="shared" ca="1" si="8"/>
        <v>80</v>
      </c>
      <c r="AC184" s="7">
        <f>[1]!Table1[[#This Row],[Kidhome]]+[1]!Table1[[#This Row],[Teenhome]]</f>
        <v>0</v>
      </c>
      <c r="AD184" s="7">
        <f t="shared" si="9"/>
        <v>1033</v>
      </c>
      <c r="AE184" s="7">
        <f t="shared" si="10"/>
        <v>11</v>
      </c>
      <c r="AF184" s="10">
        <f t="shared" si="11"/>
        <v>11</v>
      </c>
    </row>
    <row r="185" spans="1:32" x14ac:dyDescent="0.3">
      <c r="A185" s="11">
        <v>10796</v>
      </c>
      <c r="B185" s="12">
        <v>1984</v>
      </c>
      <c r="C185" s="12" t="s">
        <v>37</v>
      </c>
      <c r="D185" s="12" t="s">
        <v>36</v>
      </c>
      <c r="E185" s="13">
        <v>30477</v>
      </c>
      <c r="F185" s="12">
        <v>1</v>
      </c>
      <c r="G185" s="12">
        <v>0</v>
      </c>
      <c r="H185" s="14">
        <v>41661</v>
      </c>
      <c r="I185" s="12">
        <v>16</v>
      </c>
      <c r="J185" s="12">
        <v>47</v>
      </c>
      <c r="K185" s="12">
        <v>1</v>
      </c>
      <c r="L185" s="12">
        <v>6</v>
      </c>
      <c r="M185" s="12">
        <v>0</v>
      </c>
      <c r="N185" s="12">
        <v>0</v>
      </c>
      <c r="O185" s="12">
        <v>12</v>
      </c>
      <c r="P185" s="12">
        <v>1</v>
      </c>
      <c r="Q185" s="12">
        <v>1</v>
      </c>
      <c r="R185" s="12">
        <v>1</v>
      </c>
      <c r="S185" s="12">
        <v>3</v>
      </c>
      <c r="T185" s="12">
        <v>6</v>
      </c>
      <c r="U185" s="12">
        <v>0</v>
      </c>
      <c r="V185" s="12">
        <v>0</v>
      </c>
      <c r="W185" s="12">
        <v>0</v>
      </c>
      <c r="X185" s="12">
        <v>0</v>
      </c>
      <c r="Y185" s="12">
        <v>0</v>
      </c>
      <c r="Z185" s="12">
        <v>0</v>
      </c>
      <c r="AA185" s="12">
        <v>0</v>
      </c>
      <c r="AB185" s="12">
        <f t="shared" ca="1" si="8"/>
        <v>42</v>
      </c>
      <c r="AC185" s="12">
        <f>[1]!Table1[[#This Row],[Kidhome]]+[1]!Table1[[#This Row],[Teenhome]]</f>
        <v>1</v>
      </c>
      <c r="AD185" s="12">
        <f t="shared" si="9"/>
        <v>66</v>
      </c>
      <c r="AE185" s="12">
        <f t="shared" si="10"/>
        <v>3</v>
      </c>
      <c r="AF185" s="15">
        <f t="shared" si="11"/>
        <v>3</v>
      </c>
    </row>
    <row r="186" spans="1:32" x14ac:dyDescent="0.3">
      <c r="A186" s="6">
        <v>2563</v>
      </c>
      <c r="B186" s="7">
        <v>1961</v>
      </c>
      <c r="C186" s="7" t="s">
        <v>39</v>
      </c>
      <c r="D186" s="7" t="s">
        <v>36</v>
      </c>
      <c r="E186" s="8">
        <v>28249</v>
      </c>
      <c r="F186" s="7">
        <v>0</v>
      </c>
      <c r="G186" s="7">
        <v>0</v>
      </c>
      <c r="H186" s="9">
        <v>41805</v>
      </c>
      <c r="I186" s="7">
        <v>80</v>
      </c>
      <c r="J186" s="7">
        <v>1</v>
      </c>
      <c r="K186" s="7">
        <v>9</v>
      </c>
      <c r="L186" s="7">
        <v>7</v>
      </c>
      <c r="M186" s="7">
        <v>2</v>
      </c>
      <c r="N186" s="7">
        <v>14</v>
      </c>
      <c r="O186" s="7">
        <v>10</v>
      </c>
      <c r="P186" s="7">
        <v>1</v>
      </c>
      <c r="Q186" s="7">
        <v>2</v>
      </c>
      <c r="R186" s="7">
        <v>0</v>
      </c>
      <c r="S186" s="7">
        <v>3</v>
      </c>
      <c r="T186" s="7">
        <v>6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f t="shared" ca="1" si="8"/>
        <v>65</v>
      </c>
      <c r="AC186" s="7">
        <f>[1]!Table1[[#This Row],[Kidhome]]+[1]!Table1[[#This Row],[Teenhome]]</f>
        <v>0</v>
      </c>
      <c r="AD186" s="7">
        <f t="shared" si="9"/>
        <v>43</v>
      </c>
      <c r="AE186" s="7">
        <f t="shared" si="10"/>
        <v>3</v>
      </c>
      <c r="AF186" s="10">
        <f t="shared" si="11"/>
        <v>3</v>
      </c>
    </row>
    <row r="187" spans="1:32" x14ac:dyDescent="0.3">
      <c r="A187" s="11">
        <v>3518</v>
      </c>
      <c r="B187" s="12">
        <v>1983</v>
      </c>
      <c r="C187" s="12" t="s">
        <v>32</v>
      </c>
      <c r="D187" s="12" t="s">
        <v>36</v>
      </c>
      <c r="E187" s="13">
        <v>25271</v>
      </c>
      <c r="F187" s="12">
        <v>1</v>
      </c>
      <c r="G187" s="12">
        <v>0</v>
      </c>
      <c r="H187" s="14">
        <v>41248</v>
      </c>
      <c r="I187" s="12">
        <v>45</v>
      </c>
      <c r="J187" s="12">
        <v>10</v>
      </c>
      <c r="K187" s="12">
        <v>1</v>
      </c>
      <c r="L187" s="12">
        <v>18</v>
      </c>
      <c r="M187" s="12">
        <v>10</v>
      </c>
      <c r="N187" s="12">
        <v>4</v>
      </c>
      <c r="O187" s="12">
        <v>7</v>
      </c>
      <c r="P187" s="12">
        <v>1</v>
      </c>
      <c r="Q187" s="12">
        <v>1</v>
      </c>
      <c r="R187" s="12">
        <v>1</v>
      </c>
      <c r="S187" s="12">
        <v>2</v>
      </c>
      <c r="T187" s="12">
        <v>9</v>
      </c>
      <c r="U187" s="12">
        <v>0</v>
      </c>
      <c r="V187" s="12">
        <v>0</v>
      </c>
      <c r="W187" s="12">
        <v>0</v>
      </c>
      <c r="X187" s="12">
        <v>0</v>
      </c>
      <c r="Y187" s="12">
        <v>0</v>
      </c>
      <c r="Z187" s="12">
        <v>0</v>
      </c>
      <c r="AA187" s="12">
        <v>0</v>
      </c>
      <c r="AB187" s="12">
        <f t="shared" ca="1" si="8"/>
        <v>43</v>
      </c>
      <c r="AC187" s="12">
        <f>[1]!Table1[[#This Row],[Kidhome]]+[1]!Table1[[#This Row],[Teenhome]]</f>
        <v>1</v>
      </c>
      <c r="AD187" s="12">
        <f t="shared" si="9"/>
        <v>50</v>
      </c>
      <c r="AE187" s="12">
        <f t="shared" si="10"/>
        <v>3</v>
      </c>
      <c r="AF187" s="15">
        <f t="shared" si="11"/>
        <v>3</v>
      </c>
    </row>
    <row r="188" spans="1:32" x14ac:dyDescent="0.3">
      <c r="A188" s="6">
        <v>5823</v>
      </c>
      <c r="B188" s="7">
        <v>1970</v>
      </c>
      <c r="C188" s="7" t="s">
        <v>35</v>
      </c>
      <c r="D188" s="7" t="s">
        <v>33</v>
      </c>
      <c r="E188" s="8">
        <v>32303</v>
      </c>
      <c r="F188" s="7">
        <v>0</v>
      </c>
      <c r="G188" s="7">
        <v>1</v>
      </c>
      <c r="H188" s="9">
        <v>41706</v>
      </c>
      <c r="I188" s="7">
        <v>63</v>
      </c>
      <c r="J188" s="7">
        <v>35</v>
      </c>
      <c r="K188" s="7">
        <v>0</v>
      </c>
      <c r="L188" s="7">
        <v>2</v>
      </c>
      <c r="M188" s="7">
        <v>0</v>
      </c>
      <c r="N188" s="7">
        <v>0</v>
      </c>
      <c r="O188" s="7">
        <v>2</v>
      </c>
      <c r="P188" s="7">
        <v>2</v>
      </c>
      <c r="Q188" s="7">
        <v>1</v>
      </c>
      <c r="R188" s="7">
        <v>0</v>
      </c>
      <c r="S188" s="7">
        <v>4</v>
      </c>
      <c r="T188" s="7">
        <v>5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f t="shared" ca="1" si="8"/>
        <v>56</v>
      </c>
      <c r="AC188" s="7">
        <f>[1]!Table1[[#This Row],[Kidhome]]+[1]!Table1[[#This Row],[Teenhome]]</f>
        <v>1</v>
      </c>
      <c r="AD188" s="7">
        <f t="shared" si="9"/>
        <v>39</v>
      </c>
      <c r="AE188" s="7">
        <f t="shared" si="10"/>
        <v>3</v>
      </c>
      <c r="AF188" s="10">
        <f t="shared" si="11"/>
        <v>3</v>
      </c>
    </row>
    <row r="189" spans="1:32" x14ac:dyDescent="0.3">
      <c r="A189" s="11">
        <v>3934</v>
      </c>
      <c r="B189" s="12">
        <v>1966</v>
      </c>
      <c r="C189" s="12" t="s">
        <v>32</v>
      </c>
      <c r="D189" s="12" t="s">
        <v>36</v>
      </c>
      <c r="E189" s="13">
        <v>61286</v>
      </c>
      <c r="F189" s="12">
        <v>0</v>
      </c>
      <c r="G189" s="12">
        <v>1</v>
      </c>
      <c r="H189" s="14">
        <v>41488</v>
      </c>
      <c r="I189" s="12">
        <v>34</v>
      </c>
      <c r="J189" s="12">
        <v>356</v>
      </c>
      <c r="K189" s="12">
        <v>0</v>
      </c>
      <c r="L189" s="12">
        <v>107</v>
      </c>
      <c r="M189" s="12">
        <v>19</v>
      </c>
      <c r="N189" s="12">
        <v>9</v>
      </c>
      <c r="O189" s="12">
        <v>117</v>
      </c>
      <c r="P189" s="12">
        <v>2</v>
      </c>
      <c r="Q189" s="12">
        <v>7</v>
      </c>
      <c r="R189" s="12">
        <v>1</v>
      </c>
      <c r="S189" s="12">
        <v>8</v>
      </c>
      <c r="T189" s="12">
        <v>5</v>
      </c>
      <c r="U189" s="12">
        <v>0</v>
      </c>
      <c r="V189" s="12">
        <v>0</v>
      </c>
      <c r="W189" s="12">
        <v>0</v>
      </c>
      <c r="X189" s="12">
        <v>0</v>
      </c>
      <c r="Y189" s="12">
        <v>0</v>
      </c>
      <c r="Z189" s="12">
        <v>0</v>
      </c>
      <c r="AA189" s="12">
        <v>0</v>
      </c>
      <c r="AB189" s="12">
        <f t="shared" ca="1" si="8"/>
        <v>60</v>
      </c>
      <c r="AC189" s="12">
        <f>[1]!Table1[[#This Row],[Kidhome]]+[1]!Table1[[#This Row],[Teenhome]]</f>
        <v>1</v>
      </c>
      <c r="AD189" s="12">
        <f t="shared" si="9"/>
        <v>608</v>
      </c>
      <c r="AE189" s="12">
        <f t="shared" si="10"/>
        <v>10</v>
      </c>
      <c r="AF189" s="15">
        <f t="shared" si="11"/>
        <v>10</v>
      </c>
    </row>
    <row r="190" spans="1:32" x14ac:dyDescent="0.3">
      <c r="A190" s="6">
        <v>6982</v>
      </c>
      <c r="B190" s="7">
        <v>1976</v>
      </c>
      <c r="C190" s="7" t="s">
        <v>32</v>
      </c>
      <c r="D190" s="7" t="s">
        <v>36</v>
      </c>
      <c r="E190" s="8">
        <v>74068</v>
      </c>
      <c r="F190" s="7">
        <v>0</v>
      </c>
      <c r="G190" s="7">
        <v>0</v>
      </c>
      <c r="H190" s="9">
        <v>41352</v>
      </c>
      <c r="I190" s="7">
        <v>14</v>
      </c>
      <c r="J190" s="7">
        <v>783</v>
      </c>
      <c r="K190" s="7">
        <v>30</v>
      </c>
      <c r="L190" s="7">
        <v>537</v>
      </c>
      <c r="M190" s="7">
        <v>140</v>
      </c>
      <c r="N190" s="7">
        <v>76</v>
      </c>
      <c r="O190" s="7">
        <v>15</v>
      </c>
      <c r="P190" s="7">
        <v>1</v>
      </c>
      <c r="Q190" s="7">
        <v>4</v>
      </c>
      <c r="R190" s="7">
        <v>10</v>
      </c>
      <c r="S190" s="7">
        <v>9</v>
      </c>
      <c r="T190" s="7">
        <v>2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f t="shared" ca="1" si="8"/>
        <v>50</v>
      </c>
      <c r="AC190" s="7">
        <f>[1]!Table1[[#This Row],[Kidhome]]+[1]!Table1[[#This Row],[Teenhome]]</f>
        <v>0</v>
      </c>
      <c r="AD190" s="7">
        <f t="shared" si="9"/>
        <v>1581</v>
      </c>
      <c r="AE190" s="7">
        <f t="shared" si="10"/>
        <v>15</v>
      </c>
      <c r="AF190" s="10">
        <f t="shared" si="11"/>
        <v>15</v>
      </c>
    </row>
    <row r="191" spans="1:32" x14ac:dyDescent="0.3">
      <c r="A191" s="11">
        <v>6431</v>
      </c>
      <c r="B191" s="12">
        <v>1964</v>
      </c>
      <c r="C191" s="12" t="s">
        <v>35</v>
      </c>
      <c r="D191" s="12" t="s">
        <v>36</v>
      </c>
      <c r="E191" s="13">
        <v>45759</v>
      </c>
      <c r="F191" s="12">
        <v>1</v>
      </c>
      <c r="G191" s="12">
        <v>1</v>
      </c>
      <c r="H191" s="14">
        <v>41328</v>
      </c>
      <c r="I191" s="12">
        <v>13</v>
      </c>
      <c r="J191" s="12">
        <v>42</v>
      </c>
      <c r="K191" s="12">
        <v>1</v>
      </c>
      <c r="L191" s="12">
        <v>18</v>
      </c>
      <c r="M191" s="12">
        <v>3</v>
      </c>
      <c r="N191" s="12">
        <v>0</v>
      </c>
      <c r="O191" s="12">
        <v>4</v>
      </c>
      <c r="P191" s="12">
        <v>2</v>
      </c>
      <c r="Q191" s="12">
        <v>2</v>
      </c>
      <c r="R191" s="12">
        <v>0</v>
      </c>
      <c r="S191" s="12">
        <v>3</v>
      </c>
      <c r="T191" s="12">
        <v>7</v>
      </c>
      <c r="U191" s="12">
        <v>0</v>
      </c>
      <c r="V191" s="12">
        <v>0</v>
      </c>
      <c r="W191" s="12">
        <v>0</v>
      </c>
      <c r="X191" s="12">
        <v>0</v>
      </c>
      <c r="Y191" s="12">
        <v>0</v>
      </c>
      <c r="Z191" s="12">
        <v>0</v>
      </c>
      <c r="AA191" s="12">
        <v>0</v>
      </c>
      <c r="AB191" s="12">
        <f t="shared" ca="1" si="8"/>
        <v>62</v>
      </c>
      <c r="AC191" s="12">
        <f>[1]!Table1[[#This Row],[Kidhome]]+[1]!Table1[[#This Row],[Teenhome]]</f>
        <v>2</v>
      </c>
      <c r="AD191" s="12">
        <f t="shared" si="9"/>
        <v>68</v>
      </c>
      <c r="AE191" s="12">
        <f t="shared" si="10"/>
        <v>4</v>
      </c>
      <c r="AF191" s="15">
        <f t="shared" si="11"/>
        <v>4</v>
      </c>
    </row>
    <row r="192" spans="1:32" x14ac:dyDescent="0.3">
      <c r="A192" s="6">
        <v>9733</v>
      </c>
      <c r="B192" s="7">
        <v>1978</v>
      </c>
      <c r="C192" s="7" t="s">
        <v>39</v>
      </c>
      <c r="D192" s="7" t="s">
        <v>34</v>
      </c>
      <c r="E192" s="8">
        <v>24882</v>
      </c>
      <c r="F192" s="7">
        <v>1</v>
      </c>
      <c r="G192" s="7">
        <v>0</v>
      </c>
      <c r="H192" s="9">
        <v>41161</v>
      </c>
      <c r="I192" s="7">
        <v>52</v>
      </c>
      <c r="J192" s="7">
        <v>1</v>
      </c>
      <c r="K192" s="7">
        <v>4</v>
      </c>
      <c r="L192" s="7">
        <v>10</v>
      </c>
      <c r="M192" s="7">
        <v>29</v>
      </c>
      <c r="N192" s="7">
        <v>0</v>
      </c>
      <c r="O192" s="7">
        <v>36</v>
      </c>
      <c r="P192" s="7">
        <v>1</v>
      </c>
      <c r="Q192" s="7">
        <v>1</v>
      </c>
      <c r="R192" s="7">
        <v>1</v>
      </c>
      <c r="S192" s="7">
        <v>2</v>
      </c>
      <c r="T192" s="7">
        <v>6</v>
      </c>
      <c r="U192" s="7">
        <v>1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f t="shared" ca="1" si="8"/>
        <v>48</v>
      </c>
      <c r="AC192" s="7">
        <f>[1]!Table1[[#This Row],[Kidhome]]+[1]!Table1[[#This Row],[Teenhome]]</f>
        <v>1</v>
      </c>
      <c r="AD192" s="7">
        <f t="shared" si="9"/>
        <v>80</v>
      </c>
      <c r="AE192" s="7">
        <f t="shared" si="10"/>
        <v>3</v>
      </c>
      <c r="AF192" s="10">
        <f t="shared" si="11"/>
        <v>3</v>
      </c>
    </row>
    <row r="193" spans="1:32" x14ac:dyDescent="0.3">
      <c r="A193" s="11">
        <v>5602</v>
      </c>
      <c r="B193" s="12">
        <v>1989</v>
      </c>
      <c r="C193" s="12" t="s">
        <v>35</v>
      </c>
      <c r="D193" s="12" t="s">
        <v>34</v>
      </c>
      <c r="E193" s="13">
        <v>66973</v>
      </c>
      <c r="F193" s="12">
        <v>0</v>
      </c>
      <c r="G193" s="12">
        <v>0</v>
      </c>
      <c r="H193" s="14">
        <v>41411</v>
      </c>
      <c r="I193" s="12">
        <v>98</v>
      </c>
      <c r="J193" s="12">
        <v>466</v>
      </c>
      <c r="K193" s="12">
        <v>22</v>
      </c>
      <c r="L193" s="12">
        <v>432</v>
      </c>
      <c r="M193" s="12">
        <v>147</v>
      </c>
      <c r="N193" s="12">
        <v>113</v>
      </c>
      <c r="O193" s="12">
        <v>102</v>
      </c>
      <c r="P193" s="12">
        <v>1</v>
      </c>
      <c r="Q193" s="12">
        <v>8</v>
      </c>
      <c r="R193" s="12">
        <v>7</v>
      </c>
      <c r="S193" s="12">
        <v>12</v>
      </c>
      <c r="T193" s="12">
        <v>3</v>
      </c>
      <c r="U193" s="12">
        <v>0</v>
      </c>
      <c r="V193" s="12">
        <v>0</v>
      </c>
      <c r="W193" s="12">
        <v>0</v>
      </c>
      <c r="X193" s="12">
        <v>0</v>
      </c>
      <c r="Y193" s="12">
        <v>0</v>
      </c>
      <c r="Z193" s="12">
        <v>0</v>
      </c>
      <c r="AA193" s="12">
        <v>0</v>
      </c>
      <c r="AB193" s="12">
        <f t="shared" ca="1" si="8"/>
        <v>37</v>
      </c>
      <c r="AC193" s="12">
        <f>[1]!Table1[[#This Row],[Kidhome]]+[1]!Table1[[#This Row],[Teenhome]]</f>
        <v>0</v>
      </c>
      <c r="AD193" s="12">
        <f t="shared" si="9"/>
        <v>1282</v>
      </c>
      <c r="AE193" s="12">
        <f t="shared" si="10"/>
        <v>16</v>
      </c>
      <c r="AF193" s="15">
        <f t="shared" si="11"/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K R</dc:creator>
  <cp:lastModifiedBy>Anjali K R</cp:lastModifiedBy>
  <dcterms:created xsi:type="dcterms:W3CDTF">2026-05-31T09:41:46Z</dcterms:created>
  <dcterms:modified xsi:type="dcterms:W3CDTF">2026-05-31T09:42:18Z</dcterms:modified>
</cp:coreProperties>
</file>